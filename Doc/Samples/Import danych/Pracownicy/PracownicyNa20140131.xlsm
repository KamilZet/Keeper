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en_skoroszyt"/>
  <bookViews>
    <workbookView xWindow="0" yWindow="0" windowWidth="18090" windowHeight="6750"/>
  </bookViews>
  <sheets>
    <sheet name="Arkusz1" sheetId="1" r:id="rId1"/>
    <sheet name="Arkusz2" sheetId="2" r:id="rId2"/>
  </sheets>
  <functionGroups builtInGroupCount="17"/>
  <definedNames>
    <definedName name="_xlnm._FilterDatabase" localSheetId="0" hidden="1">Arkusz1!$A$1:$F$164</definedName>
    <definedName name="_xlnm._FilterDatabase" localSheetId="1" hidden="1">Arkusz2!$A$1:$D$282</definedName>
  </definedNames>
  <calcPr calcId="144525" calcOnSave="0"/>
</workbook>
</file>

<file path=xl/calcChain.xml><?xml version="1.0" encoding="utf-8"?>
<calcChain xmlns="http://schemas.openxmlformats.org/spreadsheetml/2006/main">
  <c r="L3" i="1" l="1"/>
  <c r="J3" i="1" s="1"/>
  <c r="L4" i="1"/>
  <c r="J4" i="1" s="1"/>
  <c r="L5" i="1"/>
  <c r="J5" i="1" s="1"/>
  <c r="L6" i="1"/>
  <c r="J6" i="1" s="1"/>
  <c r="L7" i="1"/>
  <c r="J7" i="1" s="1"/>
  <c r="L8" i="1"/>
  <c r="J8" i="1" s="1"/>
  <c r="L9" i="1"/>
  <c r="J9" i="1" s="1"/>
  <c r="L10" i="1"/>
  <c r="J10" i="1" s="1"/>
  <c r="L11" i="1"/>
  <c r="J11" i="1" s="1"/>
  <c r="L12" i="1"/>
  <c r="J12" i="1" s="1"/>
  <c r="L13" i="1"/>
  <c r="J13" i="1" s="1"/>
  <c r="L14" i="1"/>
  <c r="J14" i="1" s="1"/>
  <c r="L15" i="1"/>
  <c r="J15" i="1" s="1"/>
  <c r="L16" i="1"/>
  <c r="J16" i="1" s="1"/>
  <c r="L17" i="1"/>
  <c r="J17" i="1" s="1"/>
  <c r="L18" i="1"/>
  <c r="J18" i="1" s="1"/>
  <c r="L19" i="1"/>
  <c r="J19" i="1" s="1"/>
  <c r="L20" i="1"/>
  <c r="J20" i="1" s="1"/>
  <c r="L21" i="1"/>
  <c r="J21" i="1" s="1"/>
  <c r="L22" i="1"/>
  <c r="J22" i="1" s="1"/>
  <c r="L23" i="1"/>
  <c r="J23" i="1" s="1"/>
  <c r="L24" i="1"/>
  <c r="J24" i="1" s="1"/>
  <c r="L25" i="1"/>
  <c r="J25" i="1" s="1"/>
  <c r="L26" i="1"/>
  <c r="J26" i="1" s="1"/>
  <c r="L27" i="1"/>
  <c r="J27" i="1" s="1"/>
  <c r="L28" i="1"/>
  <c r="J28" i="1" s="1"/>
  <c r="L29" i="1"/>
  <c r="J29" i="1" s="1"/>
  <c r="L30" i="1"/>
  <c r="J30" i="1" s="1"/>
  <c r="L31" i="1"/>
  <c r="J31" i="1" s="1"/>
  <c r="L32" i="1"/>
  <c r="J32" i="1" s="1"/>
  <c r="L33" i="1"/>
  <c r="J33" i="1" s="1"/>
  <c r="L34" i="1"/>
  <c r="J34" i="1" s="1"/>
  <c r="L35" i="1"/>
  <c r="J35" i="1" s="1"/>
  <c r="L36" i="1"/>
  <c r="J36" i="1" s="1"/>
  <c r="L37" i="1"/>
  <c r="J37" i="1" s="1"/>
  <c r="L38" i="1"/>
  <c r="J38" i="1" s="1"/>
  <c r="L39" i="1"/>
  <c r="J39" i="1" s="1"/>
  <c r="L40" i="1"/>
  <c r="J40" i="1" s="1"/>
  <c r="L41" i="1"/>
  <c r="J41" i="1" s="1"/>
  <c r="L42" i="1"/>
  <c r="J42" i="1" s="1"/>
  <c r="L43" i="1"/>
  <c r="J43" i="1" s="1"/>
  <c r="L44" i="1"/>
  <c r="J44" i="1" s="1"/>
  <c r="L45" i="1"/>
  <c r="J45" i="1" s="1"/>
  <c r="L46" i="1"/>
  <c r="J46" i="1" s="1"/>
  <c r="L47" i="1"/>
  <c r="J47" i="1" s="1"/>
  <c r="L48" i="1"/>
  <c r="J48" i="1" s="1"/>
  <c r="L49" i="1"/>
  <c r="J49" i="1" s="1"/>
  <c r="L50" i="1"/>
  <c r="J50" i="1" s="1"/>
  <c r="L51" i="1"/>
  <c r="J51" i="1" s="1"/>
  <c r="L52" i="1"/>
  <c r="J52" i="1" s="1"/>
  <c r="L53" i="1"/>
  <c r="J53" i="1" s="1"/>
  <c r="L54" i="1"/>
  <c r="J54" i="1" s="1"/>
  <c r="L55" i="1"/>
  <c r="J55" i="1" s="1"/>
  <c r="L56" i="1"/>
  <c r="J56" i="1" s="1"/>
  <c r="L57" i="1"/>
  <c r="J57" i="1" s="1"/>
  <c r="L58" i="1"/>
  <c r="J58" i="1" s="1"/>
  <c r="L59" i="1"/>
  <c r="J59" i="1" s="1"/>
  <c r="L60" i="1"/>
  <c r="J60" i="1" s="1"/>
  <c r="L61" i="1"/>
  <c r="J61" i="1" s="1"/>
  <c r="L62" i="1"/>
  <c r="J62" i="1" s="1"/>
  <c r="L63" i="1"/>
  <c r="J63" i="1" s="1"/>
  <c r="L64" i="1"/>
  <c r="J64" i="1" s="1"/>
  <c r="L65" i="1"/>
  <c r="J65" i="1" s="1"/>
  <c r="L66" i="1"/>
  <c r="J66" i="1" s="1"/>
  <c r="L67" i="1"/>
  <c r="J67" i="1" s="1"/>
  <c r="L68" i="1"/>
  <c r="J68" i="1" s="1"/>
  <c r="L69" i="1"/>
  <c r="J69" i="1" s="1"/>
  <c r="L70" i="1"/>
  <c r="J70" i="1" s="1"/>
  <c r="L71" i="1"/>
  <c r="J71" i="1" s="1"/>
  <c r="L72" i="1"/>
  <c r="J72" i="1" s="1"/>
  <c r="L73" i="1"/>
  <c r="J73" i="1" s="1"/>
  <c r="L74" i="1"/>
  <c r="J74" i="1" s="1"/>
  <c r="L75" i="1"/>
  <c r="J75" i="1" s="1"/>
  <c r="L76" i="1"/>
  <c r="J76" i="1" s="1"/>
  <c r="L77" i="1"/>
  <c r="J77" i="1" s="1"/>
  <c r="L78" i="1"/>
  <c r="J78" i="1" s="1"/>
  <c r="L79" i="1"/>
  <c r="J79" i="1" s="1"/>
  <c r="L80" i="1"/>
  <c r="J80" i="1" s="1"/>
  <c r="L81" i="1"/>
  <c r="J81" i="1" s="1"/>
  <c r="L82" i="1"/>
  <c r="J82" i="1" s="1"/>
  <c r="L83" i="1"/>
  <c r="J83" i="1" s="1"/>
  <c r="L84" i="1"/>
  <c r="J84" i="1" s="1"/>
  <c r="L85" i="1"/>
  <c r="J85" i="1" s="1"/>
  <c r="L86" i="1"/>
  <c r="J86" i="1" s="1"/>
  <c r="L87" i="1"/>
  <c r="J87" i="1" s="1"/>
  <c r="L88" i="1"/>
  <c r="J88" i="1" s="1"/>
  <c r="L89" i="1"/>
  <c r="J89" i="1" s="1"/>
  <c r="L90" i="1"/>
  <c r="J90" i="1" s="1"/>
  <c r="L91" i="1"/>
  <c r="J91" i="1" s="1"/>
  <c r="L92" i="1"/>
  <c r="J92" i="1" s="1"/>
  <c r="L93" i="1"/>
  <c r="J93" i="1" s="1"/>
  <c r="L94" i="1"/>
  <c r="J94" i="1" s="1"/>
  <c r="L95" i="1"/>
  <c r="J95" i="1" s="1"/>
  <c r="L96" i="1"/>
  <c r="J96" i="1" s="1"/>
  <c r="L97" i="1"/>
  <c r="J97" i="1" s="1"/>
  <c r="L98" i="1"/>
  <c r="J98" i="1" s="1"/>
  <c r="L99" i="1"/>
  <c r="J99" i="1" s="1"/>
  <c r="L100" i="1"/>
  <c r="J100" i="1" s="1"/>
  <c r="L101" i="1"/>
  <c r="J101" i="1" s="1"/>
  <c r="L102" i="1"/>
  <c r="J102" i="1" s="1"/>
  <c r="L103" i="1"/>
  <c r="J103" i="1" s="1"/>
  <c r="L104" i="1"/>
  <c r="J104" i="1" s="1"/>
  <c r="L105" i="1"/>
  <c r="J105" i="1" s="1"/>
  <c r="L106" i="1"/>
  <c r="J106" i="1" s="1"/>
  <c r="L107" i="1"/>
  <c r="J107" i="1" s="1"/>
  <c r="L108" i="1"/>
  <c r="J108" i="1" s="1"/>
  <c r="L109" i="1"/>
  <c r="J109" i="1" s="1"/>
  <c r="L110" i="1"/>
  <c r="J110" i="1" s="1"/>
  <c r="L111" i="1"/>
  <c r="J111" i="1" s="1"/>
  <c r="L112" i="1"/>
  <c r="J112" i="1" s="1"/>
  <c r="L113" i="1"/>
  <c r="J113" i="1" s="1"/>
  <c r="L114" i="1"/>
  <c r="J114" i="1" s="1"/>
  <c r="L115" i="1"/>
  <c r="J115" i="1" s="1"/>
  <c r="L116" i="1"/>
  <c r="J116" i="1" s="1"/>
  <c r="L117" i="1"/>
  <c r="J117" i="1" s="1"/>
  <c r="L118" i="1"/>
  <c r="J118" i="1" s="1"/>
  <c r="L119" i="1"/>
  <c r="J119" i="1" s="1"/>
  <c r="L120" i="1"/>
  <c r="J120" i="1" s="1"/>
  <c r="L121" i="1"/>
  <c r="J121" i="1" s="1"/>
  <c r="L122" i="1"/>
  <c r="J122" i="1" s="1"/>
  <c r="L123" i="1"/>
  <c r="J123" i="1" s="1"/>
  <c r="L124" i="1"/>
  <c r="J124" i="1" s="1"/>
  <c r="L125" i="1"/>
  <c r="J125" i="1" s="1"/>
  <c r="L126" i="1"/>
  <c r="J126" i="1" s="1"/>
  <c r="L127" i="1"/>
  <c r="J127" i="1" s="1"/>
  <c r="L128" i="1"/>
  <c r="J128" i="1" s="1"/>
  <c r="L129" i="1"/>
  <c r="J129" i="1" s="1"/>
  <c r="L130" i="1"/>
  <c r="J130" i="1" s="1"/>
  <c r="L131" i="1"/>
  <c r="J131" i="1" s="1"/>
  <c r="L132" i="1"/>
  <c r="J132" i="1" s="1"/>
  <c r="L133" i="1"/>
  <c r="J133" i="1" s="1"/>
  <c r="L134" i="1"/>
  <c r="J134" i="1" s="1"/>
  <c r="L135" i="1"/>
  <c r="J135" i="1" s="1"/>
  <c r="L136" i="1"/>
  <c r="J136" i="1" s="1"/>
  <c r="L137" i="1"/>
  <c r="J137" i="1" s="1"/>
  <c r="L138" i="1"/>
  <c r="J138" i="1" s="1"/>
  <c r="L139" i="1"/>
  <c r="J139" i="1" s="1"/>
  <c r="L140" i="1"/>
  <c r="J140" i="1" s="1"/>
  <c r="L141" i="1"/>
  <c r="J141" i="1" s="1"/>
  <c r="L142" i="1"/>
  <c r="J142" i="1" s="1"/>
  <c r="L143" i="1"/>
  <c r="J143" i="1" s="1"/>
  <c r="L144" i="1"/>
  <c r="J144" i="1" s="1"/>
  <c r="L145" i="1"/>
  <c r="J145" i="1" s="1"/>
  <c r="L146" i="1"/>
  <c r="J146" i="1" s="1"/>
  <c r="L147" i="1"/>
  <c r="J147" i="1" s="1"/>
  <c r="L148" i="1"/>
  <c r="J148" i="1" s="1"/>
  <c r="L149" i="1"/>
  <c r="J149" i="1" s="1"/>
  <c r="L150" i="1"/>
  <c r="J150" i="1" s="1"/>
  <c r="L151" i="1"/>
  <c r="J151" i="1" s="1"/>
  <c r="L152" i="1"/>
  <c r="J152" i="1" s="1"/>
  <c r="L153" i="1"/>
  <c r="J153" i="1" s="1"/>
  <c r="L154" i="1"/>
  <c r="J154" i="1" s="1"/>
  <c r="L155" i="1"/>
  <c r="J155" i="1" s="1"/>
  <c r="L156" i="1"/>
  <c r="J156" i="1" s="1"/>
  <c r="L157" i="1"/>
  <c r="J157" i="1" s="1"/>
  <c r="L158" i="1"/>
  <c r="J158" i="1" s="1"/>
  <c r="L159" i="1"/>
  <c r="J159" i="1" s="1"/>
  <c r="L160" i="1"/>
  <c r="J160" i="1" s="1"/>
  <c r="L161" i="1"/>
  <c r="J161" i="1" s="1"/>
  <c r="L162" i="1"/>
  <c r="J162" i="1" s="1"/>
  <c r="L163" i="1"/>
  <c r="J163" i="1" s="1"/>
  <c r="L164" i="1"/>
  <c r="J164" i="1" s="1"/>
  <c r="L2" i="1"/>
  <c r="J2" i="1" s="1"/>
  <c r="G3" i="1" l="1"/>
  <c r="H3" i="1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5" i="1"/>
  <c r="H125" i="1"/>
  <c r="G126" i="1"/>
  <c r="H126" i="1"/>
  <c r="G127" i="1"/>
  <c r="H127" i="1"/>
  <c r="G128" i="1"/>
  <c r="H128" i="1"/>
  <c r="G129" i="1"/>
  <c r="H129" i="1"/>
  <c r="G130" i="1"/>
  <c r="H130" i="1"/>
  <c r="G131" i="1"/>
  <c r="H131" i="1"/>
  <c r="G132" i="1"/>
  <c r="H132" i="1"/>
  <c r="G133" i="1"/>
  <c r="H133" i="1"/>
  <c r="G134" i="1"/>
  <c r="H134" i="1"/>
  <c r="G135" i="1"/>
  <c r="H135" i="1"/>
  <c r="G136" i="1"/>
  <c r="H136" i="1"/>
  <c r="G137" i="1"/>
  <c r="H137" i="1"/>
  <c r="G138" i="1"/>
  <c r="H138" i="1"/>
  <c r="G139" i="1"/>
  <c r="H139" i="1"/>
  <c r="G140" i="1"/>
  <c r="H140" i="1"/>
  <c r="G141" i="1"/>
  <c r="H141" i="1"/>
  <c r="G142" i="1"/>
  <c r="H142" i="1"/>
  <c r="G143" i="1"/>
  <c r="H143" i="1"/>
  <c r="G144" i="1"/>
  <c r="H144" i="1"/>
  <c r="G145" i="1"/>
  <c r="H145" i="1"/>
  <c r="G146" i="1"/>
  <c r="H146" i="1"/>
  <c r="G147" i="1"/>
  <c r="H147" i="1"/>
  <c r="G148" i="1"/>
  <c r="H148" i="1"/>
  <c r="G149" i="1"/>
  <c r="H149" i="1"/>
  <c r="G150" i="1"/>
  <c r="H150" i="1"/>
  <c r="G151" i="1"/>
  <c r="H151" i="1"/>
  <c r="G152" i="1"/>
  <c r="H152" i="1"/>
  <c r="G153" i="1"/>
  <c r="H153" i="1"/>
  <c r="G154" i="1"/>
  <c r="H154" i="1"/>
  <c r="G155" i="1"/>
  <c r="H155" i="1"/>
  <c r="G156" i="1"/>
  <c r="H156" i="1"/>
  <c r="G157" i="1"/>
  <c r="H157" i="1"/>
  <c r="G158" i="1"/>
  <c r="H158" i="1"/>
  <c r="G159" i="1"/>
  <c r="H159" i="1"/>
  <c r="G160" i="1"/>
  <c r="H160" i="1"/>
  <c r="G161" i="1"/>
  <c r="H161" i="1"/>
  <c r="G162" i="1"/>
  <c r="H162" i="1"/>
  <c r="G163" i="1"/>
  <c r="H163" i="1"/>
  <c r="G164" i="1"/>
  <c r="H164" i="1"/>
  <c r="H2" i="1"/>
  <c r="G2" i="1"/>
  <c r="K7" i="1" a="1"/>
  <c r="K127" i="1" a="1"/>
  <c r="K93" i="1" a="1"/>
  <c r="K133" i="1" a="1"/>
  <c r="K91" i="1" a="1"/>
  <c r="K136" i="1" a="1"/>
  <c r="K8" i="1" a="1"/>
  <c r="K29" i="1" a="1"/>
  <c r="K85" i="1" a="1"/>
  <c r="K88" i="1" a="1"/>
  <c r="K152" i="1" a="1"/>
  <c r="K27" i="1" a="1"/>
  <c r="K43" i="1" a="1"/>
  <c r="K59" i="1" a="1"/>
  <c r="K75" i="1" a="1"/>
  <c r="K155" i="1" a="1"/>
  <c r="K17" i="1" a="1"/>
  <c r="K33" i="1" a="1"/>
  <c r="K49" i="1" a="1"/>
  <c r="K65" i="1" a="1"/>
  <c r="K81" i="1" a="1"/>
  <c r="K97" i="1" a="1"/>
  <c r="K113" i="1" a="1"/>
  <c r="K129" i="1" a="1"/>
  <c r="K145" i="1" a="1"/>
  <c r="K161" i="1" a="1"/>
  <c r="K28" i="1" a="1"/>
  <c r="K44" i="1" a="1"/>
  <c r="K60" i="1" a="1"/>
  <c r="K76" i="1" a="1"/>
  <c r="K92" i="1" a="1"/>
  <c r="K108" i="1" a="1"/>
  <c r="K124" i="1" a="1"/>
  <c r="K143" i="1" a="1"/>
  <c r="K159" i="1" a="1"/>
  <c r="K42" i="1" a="1"/>
  <c r="K66" i="1" a="1"/>
  <c r="K109" i="1" a="1"/>
  <c r="K146" i="1" a="1"/>
  <c r="K112" i="1" a="1"/>
  <c r="K2" i="1" a="1"/>
  <c r="K104" i="1" a="1"/>
  <c r="K32" i="1" a="1"/>
  <c r="K64" i="1" a="1"/>
  <c r="K80" i="1" a="1"/>
  <c r="K22" i="1" a="1"/>
  <c r="K54" i="1" a="1"/>
  <c r="K86" i="1" a="1"/>
  <c r="K102" i="1" a="1"/>
  <c r="K134" i="1" a="1"/>
  <c r="K15" i="1" a="1"/>
  <c r="K31" i="1" a="1"/>
  <c r="K95" i="1" a="1"/>
  <c r="K111" i="1" a="1"/>
  <c r="K132" i="1" a="1"/>
  <c r="K164" i="1" a="1"/>
  <c r="K77" i="1" a="1"/>
  <c r="K117" i="1" a="1"/>
  <c r="K131" i="1" a="1"/>
  <c r="K128" i="1" a="1"/>
  <c r="K74" i="1" a="1"/>
  <c r="K139" i="1" a="1"/>
  <c r="K56" i="1" a="1"/>
  <c r="K120" i="1" a="1"/>
  <c r="K46" i="1" a="1"/>
  <c r="K94" i="1" a="1"/>
  <c r="K110" i="1" a="1"/>
  <c r="K158" i="1" a="1"/>
  <c r="K39" i="1" a="1"/>
  <c r="K87" i="1" a="1"/>
  <c r="K119" i="1" a="1"/>
  <c r="K34" i="1" a="1"/>
  <c r="K138" i="1" a="1"/>
  <c r="K9" i="1" a="1"/>
  <c r="K50" i="1" a="1"/>
  <c r="K101" i="1" a="1"/>
  <c r="K141" i="1" a="1"/>
  <c r="K107" i="1" a="1"/>
  <c r="K147" i="1" a="1"/>
  <c r="K12" i="1" a="1"/>
  <c r="K37" i="1" a="1"/>
  <c r="K106" i="1" a="1"/>
  <c r="K16" i="1" a="1"/>
  <c r="K48" i="1" a="1"/>
  <c r="K6" i="1" a="1"/>
  <c r="K38" i="1" a="1"/>
  <c r="K70" i="1" a="1"/>
  <c r="K118" i="1" a="1"/>
  <c r="K150" i="1" a="1"/>
  <c r="K47" i="1" a="1"/>
  <c r="K63" i="1" a="1"/>
  <c r="K79" i="1" a="1"/>
  <c r="K148" i="1" a="1"/>
  <c r="K45" i="1" a="1"/>
  <c r="K157" i="1" a="1"/>
  <c r="K4" i="1" a="1"/>
  <c r="K24" i="1" a="1"/>
  <c r="K72" i="1" a="1"/>
  <c r="K30" i="1" a="1"/>
  <c r="K78" i="1" a="1"/>
  <c r="K142" i="1" a="1"/>
  <c r="K55" i="1" a="1"/>
  <c r="K103" i="1" a="1"/>
  <c r="K156" i="1" a="1"/>
  <c r="K98" i="1" a="1"/>
  <c r="K163" i="1" a="1"/>
  <c r="K3" i="1" a="1"/>
  <c r="K11" i="1" a="1"/>
  <c r="K69" i="1" a="1"/>
  <c r="K114" i="1" a="1"/>
  <c r="K154" i="1" a="1"/>
  <c r="K115" i="1" a="1"/>
  <c r="K160" i="1" a="1"/>
  <c r="K18" i="1" a="1"/>
  <c r="K58" i="1" a="1"/>
  <c r="K125" i="1" a="1"/>
  <c r="K123" i="1" a="1"/>
  <c r="K19" i="1" a="1"/>
  <c r="K35" i="1" a="1"/>
  <c r="K51" i="1" a="1"/>
  <c r="K67" i="1" a="1"/>
  <c r="K96" i="1" a="1"/>
  <c r="K10" i="1" a="1"/>
  <c r="K25" i="1" a="1"/>
  <c r="K41" i="1" a="1"/>
  <c r="K57" i="1" a="1"/>
  <c r="K73" i="1" a="1"/>
  <c r="K89" i="1" a="1"/>
  <c r="K105" i="1" a="1"/>
  <c r="K121" i="1" a="1"/>
  <c r="K137" i="1" a="1"/>
  <c r="K153" i="1" a="1"/>
  <c r="K20" i="1" a="1"/>
  <c r="K36" i="1" a="1"/>
  <c r="K52" i="1" a="1"/>
  <c r="K68" i="1" a="1"/>
  <c r="K84" i="1" a="1"/>
  <c r="K100" i="1" a="1"/>
  <c r="K116" i="1" a="1"/>
  <c r="K135" i="1" a="1"/>
  <c r="K151" i="1" a="1"/>
  <c r="K26" i="1" a="1"/>
  <c r="K53" i="1" a="1"/>
  <c r="K90" i="1" a="1"/>
  <c r="K130" i="1" a="1"/>
  <c r="K83" i="1" a="1"/>
  <c r="K144" i="1" a="1"/>
  <c r="K5" i="1" a="1"/>
  <c r="K13" i="1" a="1"/>
  <c r="K82" i="1" a="1"/>
  <c r="K122" i="1" a="1"/>
  <c r="K162" i="1" a="1"/>
  <c r="K21" i="1" a="1"/>
  <c r="K149" i="1" a="1"/>
  <c r="K40" i="1" a="1"/>
  <c r="K14" i="1" a="1"/>
  <c r="K62" i="1" a="1"/>
  <c r="K126" i="1" a="1"/>
  <c r="K23" i="1" a="1"/>
  <c r="K71" i="1" a="1"/>
  <c r="K140" i="1" a="1"/>
  <c r="K61" i="1" a="1"/>
  <c r="K99" i="1" a="1"/>
  <c r="K163" i="1" l="1"/>
  <c r="K144" i="1"/>
  <c r="K131" i="1"/>
  <c r="K112" i="1"/>
  <c r="K99" i="1"/>
  <c r="K83" i="1"/>
  <c r="K157" i="1"/>
  <c r="K146" i="1"/>
  <c r="K138" i="1"/>
  <c r="K130" i="1"/>
  <c r="K117" i="1"/>
  <c r="K109" i="1"/>
  <c r="K98" i="1"/>
  <c r="K90" i="1"/>
  <c r="K77" i="1"/>
  <c r="K66" i="1"/>
  <c r="K61" i="1"/>
  <c r="K53" i="1"/>
  <c r="K45" i="1"/>
  <c r="K42" i="1"/>
  <c r="K34" i="1"/>
  <c r="K26" i="1"/>
  <c r="K164" i="1"/>
  <c r="K159" i="1"/>
  <c r="K156" i="1"/>
  <c r="K151" i="1"/>
  <c r="K148" i="1"/>
  <c r="K143" i="1"/>
  <c r="K140" i="1"/>
  <c r="K135" i="1"/>
  <c r="K132" i="1"/>
  <c r="K124" i="1"/>
  <c r="K119" i="1"/>
  <c r="K116" i="1"/>
  <c r="K111" i="1"/>
  <c r="K108" i="1"/>
  <c r="K103" i="1"/>
  <c r="K100" i="1"/>
  <c r="K95" i="1"/>
  <c r="K92" i="1"/>
  <c r="K87" i="1"/>
  <c r="K84" i="1"/>
  <c r="K79" i="1"/>
  <c r="K76" i="1"/>
  <c r="K71" i="1"/>
  <c r="K68" i="1"/>
  <c r="K63" i="1"/>
  <c r="K60" i="1"/>
  <c r="K55" i="1"/>
  <c r="K52" i="1"/>
  <c r="K47" i="1"/>
  <c r="K44" i="1"/>
  <c r="K39" i="1"/>
  <c r="K36" i="1"/>
  <c r="K31" i="1"/>
  <c r="K28" i="1"/>
  <c r="K23" i="1"/>
  <c r="K20" i="1"/>
  <c r="K15" i="1"/>
  <c r="K161" i="1"/>
  <c r="K158" i="1"/>
  <c r="K153" i="1"/>
  <c r="K150" i="1"/>
  <c r="K145" i="1"/>
  <c r="K142" i="1"/>
  <c r="K137" i="1"/>
  <c r="K134" i="1"/>
  <c r="K129" i="1"/>
  <c r="K126" i="1"/>
  <c r="K121" i="1"/>
  <c r="K118" i="1"/>
  <c r="K113" i="1"/>
  <c r="K110" i="1"/>
  <c r="K105" i="1"/>
  <c r="K102" i="1"/>
  <c r="K97" i="1"/>
  <c r="K94" i="1"/>
  <c r="K89" i="1"/>
  <c r="K86" i="1"/>
  <c r="K81" i="1"/>
  <c r="K78" i="1"/>
  <c r="K73" i="1"/>
  <c r="K70" i="1"/>
  <c r="K65" i="1"/>
  <c r="K62" i="1"/>
  <c r="K57" i="1"/>
  <c r="K54" i="1"/>
  <c r="K49" i="1"/>
  <c r="K46" i="1"/>
  <c r="K41" i="1"/>
  <c r="K38" i="1"/>
  <c r="K33" i="1"/>
  <c r="K30" i="1"/>
  <c r="K25" i="1"/>
  <c r="K22" i="1"/>
  <c r="K17" i="1"/>
  <c r="K14" i="1"/>
  <c r="K10" i="1"/>
  <c r="K6" i="1"/>
  <c r="K155" i="1"/>
  <c r="K120" i="1"/>
  <c r="K96" i="1"/>
  <c r="K80" i="1"/>
  <c r="K75" i="1"/>
  <c r="K72" i="1"/>
  <c r="K67" i="1"/>
  <c r="K64" i="1"/>
  <c r="K59" i="1"/>
  <c r="K56" i="1"/>
  <c r="K51" i="1"/>
  <c r="K48" i="1"/>
  <c r="K43" i="1"/>
  <c r="K40" i="1"/>
  <c r="K35" i="1"/>
  <c r="K32" i="1"/>
  <c r="K27" i="1"/>
  <c r="K24" i="1"/>
  <c r="K19" i="1"/>
  <c r="K16" i="1"/>
  <c r="K152" i="1"/>
  <c r="K139" i="1"/>
  <c r="K123" i="1"/>
  <c r="K104" i="1"/>
  <c r="K88" i="1"/>
  <c r="K149" i="1"/>
  <c r="K125" i="1"/>
  <c r="K106" i="1"/>
  <c r="K85" i="1"/>
  <c r="K74" i="1"/>
  <c r="K58" i="1"/>
  <c r="K37" i="1"/>
  <c r="K29" i="1"/>
  <c r="K21" i="1"/>
  <c r="K18" i="1"/>
  <c r="K12" i="1"/>
  <c r="K8" i="1"/>
  <c r="K4" i="1"/>
  <c r="K160" i="1"/>
  <c r="K147" i="1"/>
  <c r="K136" i="1"/>
  <c r="K128" i="1"/>
  <c r="K115" i="1"/>
  <c r="K107" i="1"/>
  <c r="K91" i="1"/>
  <c r="K162" i="1"/>
  <c r="K154" i="1"/>
  <c r="K141" i="1"/>
  <c r="K133" i="1"/>
  <c r="K122" i="1"/>
  <c r="K114" i="1"/>
  <c r="K101" i="1"/>
  <c r="K93" i="1"/>
  <c r="K82" i="1"/>
  <c r="K69" i="1"/>
  <c r="K50" i="1"/>
  <c r="K127" i="1"/>
  <c r="K13" i="1"/>
  <c r="K11" i="1"/>
  <c r="K9" i="1"/>
  <c r="K7" i="1"/>
  <c r="K5" i="1"/>
  <c r="K3" i="1"/>
  <c r="K2" i="1"/>
</calcChain>
</file>

<file path=xl/sharedStrings.xml><?xml version="1.0" encoding="utf-8"?>
<sst xmlns="http://schemas.openxmlformats.org/spreadsheetml/2006/main" count="1823" uniqueCount="1189">
  <si>
    <t>emp_id</t>
  </si>
  <si>
    <t>emp_fname</t>
  </si>
  <si>
    <t>emp_lname</t>
  </si>
  <si>
    <t>emp_pesel</t>
  </si>
  <si>
    <t>contract_type</t>
  </si>
  <si>
    <t>MONIKA</t>
  </si>
  <si>
    <t>MAZGOŁA</t>
  </si>
  <si>
    <t>Contract</t>
  </si>
  <si>
    <t>Katarzyna</t>
  </si>
  <si>
    <t>SZCZEPANIAK</t>
  </si>
  <si>
    <t>KATARZYNA</t>
  </si>
  <si>
    <t>ADAM</t>
  </si>
  <si>
    <t>BĄK</t>
  </si>
  <si>
    <t>MACIEJ</t>
  </si>
  <si>
    <t>BOROŃ</t>
  </si>
  <si>
    <t>MICHAŁ</t>
  </si>
  <si>
    <t>BUSZKO</t>
  </si>
  <si>
    <t>JUSTYNA</t>
  </si>
  <si>
    <t>CZERSKA</t>
  </si>
  <si>
    <t>JAROSŁAW</t>
  </si>
  <si>
    <t>DEJNEKA</t>
  </si>
  <si>
    <t>MARCIN</t>
  </si>
  <si>
    <t>DOBEK</t>
  </si>
  <si>
    <t>ANNA</t>
  </si>
  <si>
    <t>DZIERZĘDZKA</t>
  </si>
  <si>
    <t>OLGA</t>
  </si>
  <si>
    <t>DZIEWAŁTOWSKA-GINTOWT</t>
  </si>
  <si>
    <t>AGATA</t>
  </si>
  <si>
    <t>FILIPCZUK</t>
  </si>
  <si>
    <t>GRZEGORZ</t>
  </si>
  <si>
    <t>GAJ</t>
  </si>
  <si>
    <t>STANISŁAW</t>
  </si>
  <si>
    <t>GRABOWSKI</t>
  </si>
  <si>
    <t>DOROTA</t>
  </si>
  <si>
    <t>GRUSZECKA</t>
  </si>
  <si>
    <t>GRYKO</t>
  </si>
  <si>
    <t>GUREK</t>
  </si>
  <si>
    <t>MAŁGORZATA</t>
  </si>
  <si>
    <t>GUTKOWSKA</t>
  </si>
  <si>
    <t>KALINA</t>
  </si>
  <si>
    <t>JERZYŃSKA</t>
  </si>
  <si>
    <t>KEJLER</t>
  </si>
  <si>
    <t>LUDWICZYŃSKA</t>
  </si>
  <si>
    <t>ROMANIUK</t>
  </si>
  <si>
    <t>KLIMCZAK</t>
  </si>
  <si>
    <t>KINGA</t>
  </si>
  <si>
    <t>KOPERSKA</t>
  </si>
  <si>
    <t>JAKUB</t>
  </si>
  <si>
    <t>KOSSUT</t>
  </si>
  <si>
    <t>EWELINA</t>
  </si>
  <si>
    <t>KRÓLAK</t>
  </si>
  <si>
    <t>PAWEŁ</t>
  </si>
  <si>
    <t>LEWANDOWSKI</t>
  </si>
  <si>
    <t>MARZENA</t>
  </si>
  <si>
    <t>IGRAS</t>
  </si>
  <si>
    <t>RYSZARD</t>
  </si>
  <si>
    <t>MATYSKIEL</t>
  </si>
  <si>
    <t>KARINA</t>
  </si>
  <si>
    <t>OBORSKA</t>
  </si>
  <si>
    <t>JOANNA</t>
  </si>
  <si>
    <t>OKŁA</t>
  </si>
  <si>
    <t>ZUZANNA</t>
  </si>
  <si>
    <t>JESIONOWSKA</t>
  </si>
  <si>
    <t>EWA</t>
  </si>
  <si>
    <t>OSIŃSKA</t>
  </si>
  <si>
    <t>SZMITKOWSKA</t>
  </si>
  <si>
    <t>PAJĄK</t>
  </si>
  <si>
    <t>AGNIESZKA</t>
  </si>
  <si>
    <t>PARFIENOWICZ</t>
  </si>
  <si>
    <t>ŁUKASZ</t>
  </si>
  <si>
    <t>PIERZYNOWSKI</t>
  </si>
  <si>
    <t>GODECKA</t>
  </si>
  <si>
    <t>TOMASZ</t>
  </si>
  <si>
    <t>KAROLINA</t>
  </si>
  <si>
    <t>RYGALSKA-KOSSUT</t>
  </si>
  <si>
    <t>DARIA</t>
  </si>
  <si>
    <t>SACHA</t>
  </si>
  <si>
    <t>SIELICKA-KALCZYŃSKA</t>
  </si>
  <si>
    <t>SIENKIEWICZ</t>
  </si>
  <si>
    <t>ANDRZEJ</t>
  </si>
  <si>
    <t>SKIBNIEWSKI</t>
  </si>
  <si>
    <t>SKOWROŃSKI</t>
  </si>
  <si>
    <t>JAROMIR</t>
  </si>
  <si>
    <t>SZMITKOWSKI</t>
  </si>
  <si>
    <t>ELŻBIETA</t>
  </si>
  <si>
    <t>SZUMSKA</t>
  </si>
  <si>
    <t>TREBLIŃSKA</t>
  </si>
  <si>
    <t>TUMANOW</t>
  </si>
  <si>
    <t>DAWID</t>
  </si>
  <si>
    <t>WAŁĘGA</t>
  </si>
  <si>
    <t>WIĘCH</t>
  </si>
  <si>
    <t>WIŁKOMIRSKA-RESZKA</t>
  </si>
  <si>
    <t>WOJTAL</t>
  </si>
  <si>
    <t>BEATA</t>
  </si>
  <si>
    <t>MIROS</t>
  </si>
  <si>
    <t>ELWIRA</t>
  </si>
  <si>
    <t>FALUSZEWSKA</t>
  </si>
  <si>
    <t>KULAWIK</t>
  </si>
  <si>
    <t>ALEKSANDRA</t>
  </si>
  <si>
    <t>Freelance</t>
  </si>
  <si>
    <t>GRONAU</t>
  </si>
  <si>
    <t>STANKIEWICZ</t>
  </si>
  <si>
    <t>FOSIEWICZ</t>
  </si>
  <si>
    <t>WERONIKA</t>
  </si>
  <si>
    <t>BRZOZOWSKA</t>
  </si>
  <si>
    <t>JASIŃSKI</t>
  </si>
  <si>
    <t>PIEŁUNOWICZ</t>
  </si>
  <si>
    <t>PIOTR</t>
  </si>
  <si>
    <t>SITEK</t>
  </si>
  <si>
    <t>HANNA</t>
  </si>
  <si>
    <t>BEM-WOJCIESZEK</t>
  </si>
  <si>
    <t>SACZAWA</t>
  </si>
  <si>
    <t>LESZEK</t>
  </si>
  <si>
    <t>LAUKS</t>
  </si>
  <si>
    <t>WRÓBLEWSKI</t>
  </si>
  <si>
    <t>MALISZ</t>
  </si>
  <si>
    <t>SZMIGIEL-NOWAK</t>
  </si>
  <si>
    <t>MAREK</t>
  </si>
  <si>
    <t xml:space="preserve">JAWORSKI </t>
  </si>
  <si>
    <t xml:space="preserve">BARANOWSKA </t>
  </si>
  <si>
    <t>KAMIL</t>
  </si>
  <si>
    <t>GETKA</t>
  </si>
  <si>
    <t>KOWALSKA</t>
  </si>
  <si>
    <t>ARKUSZEWSKI</t>
  </si>
  <si>
    <t>PIOTROWICZ</t>
  </si>
  <si>
    <t>KAZANA</t>
  </si>
  <si>
    <t>BARTOSZ</t>
  </si>
  <si>
    <t>MIKOŁAJ</t>
  </si>
  <si>
    <t>ZGLENICKI</t>
  </si>
  <si>
    <t>EMIL</t>
  </si>
  <si>
    <t>ŁOSKOT</t>
  </si>
  <si>
    <t>MICHALSKA</t>
  </si>
  <si>
    <t>POŻOGA</t>
  </si>
  <si>
    <t>BUKOWSKA</t>
  </si>
  <si>
    <t>KRZYSIAK</t>
  </si>
  <si>
    <t>WAWRZENIUK</t>
  </si>
  <si>
    <t>DĄBROWSKA</t>
  </si>
  <si>
    <t>MAGDALENA</t>
  </si>
  <si>
    <t>PASZKIN</t>
  </si>
  <si>
    <t>ANETA</t>
  </si>
  <si>
    <t>KOGUT</t>
  </si>
  <si>
    <t>STEFAN</t>
  </si>
  <si>
    <t>SAWICKI</t>
  </si>
  <si>
    <t>JAN</t>
  </si>
  <si>
    <t>MUSZYŃSKI</t>
  </si>
  <si>
    <t>ELIZA</t>
  </si>
  <si>
    <t>KRUSZEWSKA</t>
  </si>
  <si>
    <t>FRASUNKIEWICZ</t>
  </si>
  <si>
    <t>BIDACHA</t>
  </si>
  <si>
    <t>JERZY</t>
  </si>
  <si>
    <t>WIĄCEK</t>
  </si>
  <si>
    <t>KRZESAK</t>
  </si>
  <si>
    <t>MAJEWSKA</t>
  </si>
  <si>
    <t>EDYTA</t>
  </si>
  <si>
    <t>ŻUREK</t>
  </si>
  <si>
    <t>SZEWCZUK</t>
  </si>
  <si>
    <t>ALICJA</t>
  </si>
  <si>
    <t>KALINOWSKA</t>
  </si>
  <si>
    <t>MATEUSZ</t>
  </si>
  <si>
    <t>DOWNAR</t>
  </si>
  <si>
    <t>BIJOK</t>
  </si>
  <si>
    <t>WIĘCKOWSKI</t>
  </si>
  <si>
    <t>STEFANIAK</t>
  </si>
  <si>
    <t>MARTA</t>
  </si>
  <si>
    <t>ZAROSA</t>
  </si>
  <si>
    <t>SIDOROWICZ</t>
  </si>
  <si>
    <t>KOWALSKI</t>
  </si>
  <si>
    <t>NOWIK</t>
  </si>
  <si>
    <t>MALISZEWSKA</t>
  </si>
  <si>
    <t>JEZIOREK</t>
  </si>
  <si>
    <t>PAULINA</t>
  </si>
  <si>
    <t>BOROWSKA</t>
  </si>
  <si>
    <t>TRELA</t>
  </si>
  <si>
    <t>DRYŃKOWSKA</t>
  </si>
  <si>
    <t>SŁYCHAŃ</t>
  </si>
  <si>
    <t>SIEMIĄTKOWSKI</t>
  </si>
  <si>
    <t>JANKOWSKI</t>
  </si>
  <si>
    <t>KONEWKA</t>
  </si>
  <si>
    <t>CZERWIŃSKI</t>
  </si>
  <si>
    <t>EMILIA</t>
  </si>
  <si>
    <t>GOŁĘBIOWSKA</t>
  </si>
  <si>
    <t>NATALIA</t>
  </si>
  <si>
    <t>SIEKIERSKA</t>
  </si>
  <si>
    <t>KACZMAREK</t>
  </si>
  <si>
    <t>ZWOLIŃSKA</t>
  </si>
  <si>
    <t>WILK</t>
  </si>
  <si>
    <t>SAŁATA</t>
  </si>
  <si>
    <t>FRANCUZ</t>
  </si>
  <si>
    <t>KUDEŁKA</t>
  </si>
  <si>
    <t>KLAUDIA</t>
  </si>
  <si>
    <t>PATOK</t>
  </si>
  <si>
    <t>GAJUS</t>
  </si>
  <si>
    <t>PAŃKOWSKI</t>
  </si>
  <si>
    <t>SOLKA</t>
  </si>
  <si>
    <t>ROGALA</t>
  </si>
  <si>
    <t>SANKIEWICZ</t>
  </si>
  <si>
    <t>DARIUSZ</t>
  </si>
  <si>
    <t>WIELGUS</t>
  </si>
  <si>
    <t>ADAMCZYK</t>
  </si>
  <si>
    <t>CHUDNICKA</t>
  </si>
  <si>
    <t>JAROSZ</t>
  </si>
  <si>
    <t>KASZUBA</t>
  </si>
  <si>
    <t>MAZIEJUK</t>
  </si>
  <si>
    <t>ŁYŻWIŃSKA</t>
  </si>
  <si>
    <t>URSZULA</t>
  </si>
  <si>
    <t>KUREK</t>
  </si>
  <si>
    <t>ANTONINA</t>
  </si>
  <si>
    <t>KOMOROWSKA</t>
  </si>
  <si>
    <t>CZYSZKOWSKI</t>
  </si>
  <si>
    <t>SZYMON</t>
  </si>
  <si>
    <t>KOĆMIEL</t>
  </si>
  <si>
    <t>SŁUPCZYŃSKA</t>
  </si>
  <si>
    <t>WIOLETTA</t>
  </si>
  <si>
    <t>GÓRSKA</t>
  </si>
  <si>
    <t>ORZEŁ</t>
  </si>
  <si>
    <t>NAWARA</t>
  </si>
  <si>
    <t>KOSIK</t>
  </si>
  <si>
    <t>MICHAŁOWSKA</t>
  </si>
  <si>
    <t>MĄKOSA</t>
  </si>
  <si>
    <t>DOMINIKA</t>
  </si>
  <si>
    <t>PIASECKA</t>
  </si>
  <si>
    <t>BIEŃKOWSKI</t>
  </si>
  <si>
    <t>SIWEK</t>
  </si>
  <si>
    <t>CEGLIŃSKA-MACIAK</t>
  </si>
  <si>
    <t>ROMAN</t>
  </si>
  <si>
    <t>CELIŃSKI</t>
  </si>
  <si>
    <t>KUCHARSKA</t>
  </si>
  <si>
    <t>GAŁUSZA</t>
  </si>
  <si>
    <t>monika.mazgola@mediacom.com</t>
  </si>
  <si>
    <t>katarzyna.szczepaniak@mediacom.com</t>
  </si>
  <si>
    <t>adam.bak@mediacom.com</t>
  </si>
  <si>
    <t>maciej.boron@mediacom.com</t>
  </si>
  <si>
    <t>michal.buszko@mediacom.com</t>
  </si>
  <si>
    <t>justyna.czerska@mediacom.com</t>
  </si>
  <si>
    <t>jaroslaw.dejneka@mediacom.com</t>
  </si>
  <si>
    <t>marcin.dobek@mediacom.com</t>
  </si>
  <si>
    <t>anna.dzierzedzka@mediacom.com</t>
  </si>
  <si>
    <t>agata.filipczuk@mediacom.com</t>
  </si>
  <si>
    <t>grzegorz.gaj@mediacom.com</t>
  </si>
  <si>
    <t>katarzyna.gaj@mediacom.com</t>
  </si>
  <si>
    <t>stanislaw.grabowski@mediacom.com</t>
  </si>
  <si>
    <t>dorota.gruszecka@mediacom.com</t>
  </si>
  <si>
    <t>marcin.gryko@mediacom.com</t>
  </si>
  <si>
    <t>anna.gurek@mediacom.com</t>
  </si>
  <si>
    <t>malgorzata.gutkowska@mediacom.com</t>
  </si>
  <si>
    <t>kalina.jerzynska@mediacom.com</t>
  </si>
  <si>
    <t>stanislaw.kejler@mediacom.com</t>
  </si>
  <si>
    <t>anna.ludwiczynska@mediacom.com</t>
  </si>
  <si>
    <t>anna.romaniuk@mediacom.com</t>
  </si>
  <si>
    <t>marcin.klimczak@mediacom.com</t>
  </si>
  <si>
    <t>kinga.koperska@mediacom.com</t>
  </si>
  <si>
    <t>jakub.kossut@mediacom.com</t>
  </si>
  <si>
    <t>ewelina.krolak@mediacom.com</t>
  </si>
  <si>
    <t>pawel.lewandowski@mediacom.com</t>
  </si>
  <si>
    <t>marzena.igras@mediacom.com</t>
  </si>
  <si>
    <t>ryszard.matyskiel@mediacom.com</t>
  </si>
  <si>
    <t>karina.oborska@mediacom.com</t>
  </si>
  <si>
    <t>joanna.okla@mediacom.com</t>
  </si>
  <si>
    <t>zuzanna.jesionowska@mediacom.com</t>
  </si>
  <si>
    <t>ewa.osinska@mediacom.com</t>
  </si>
  <si>
    <t>ewelina.szmitkowska@mediacom.com</t>
  </si>
  <si>
    <t>jaroslaw.pajak@mediacom.com</t>
  </si>
  <si>
    <t>agnieszka.parfienowicz@mediacom.com</t>
  </si>
  <si>
    <t>lukasz.pierzynowski@mediacom.com</t>
  </si>
  <si>
    <t>justyna.godecka@mediacom.com</t>
  </si>
  <si>
    <t>tomasz.romaniuk@mediacom.com</t>
  </si>
  <si>
    <t>daria.sacha@mediacom.com</t>
  </si>
  <si>
    <t>anna.sienkiewicz@mediacom.com</t>
  </si>
  <si>
    <t>andrzej.skibniewski@mediacom.com</t>
  </si>
  <si>
    <t>tomasz.skowronski@mediacom.com</t>
  </si>
  <si>
    <t>jaromir.szmitkowski@mediacom.com</t>
  </si>
  <si>
    <t>elzbieta.szumska@mediacom.com</t>
  </si>
  <si>
    <t>malgorzata.treblinska@mediacom.com</t>
  </si>
  <si>
    <t>ewa.tumanow@mediacom.com</t>
  </si>
  <si>
    <t>dawid.walega@mediacom.com</t>
  </si>
  <si>
    <t>monika.wiech@mediacom.com</t>
  </si>
  <si>
    <t>joanna.wilkomirska-reszka@mediacom.com</t>
  </si>
  <si>
    <t>agnieszka.wojtal@mediacom.com</t>
  </si>
  <si>
    <t>beata.miros@mediacom.com</t>
  </si>
  <si>
    <t>elwira.faluszewska@mediacom.com</t>
  </si>
  <si>
    <t>elzbieta.kulawik@mediacom.com</t>
  </si>
  <si>
    <t>aleksandra.szumska@mediacom.com</t>
  </si>
  <si>
    <t>maciej.gronau@mediacom.com</t>
  </si>
  <si>
    <t>agnieszka.stankiewicz@mediacom.com</t>
  </si>
  <si>
    <t>jaroslaw.fosiewicz@mediacom.com</t>
  </si>
  <si>
    <t>weronika.brzozowska@mediacom.com</t>
  </si>
  <si>
    <t>michal.jasinski@mediacom.com</t>
  </si>
  <si>
    <t>marcin.pielunowicz@mediacom.com</t>
  </si>
  <si>
    <t>piotr.sitek@mediacom.com</t>
  </si>
  <si>
    <t>hanna.bem-wojcieszek@mediacom.com</t>
  </si>
  <si>
    <t>pawel.saczawa@mediacom.com</t>
  </si>
  <si>
    <t>leszek.lauks@mediacom.com</t>
  </si>
  <si>
    <t>lukasz.wroblewski@mediacom.com</t>
  </si>
  <si>
    <t>daria.malisz@mediacom.com</t>
  </si>
  <si>
    <t>agnieszka.szmigiel-nowak@mediacom.com</t>
  </si>
  <si>
    <t>aleksandra.dejneka@mediacom.com</t>
  </si>
  <si>
    <t>marek.jaworski @mediacom.com</t>
  </si>
  <si>
    <t>katarzyna.baranowska @mediacom.com</t>
  </si>
  <si>
    <t>kamil.getka@mediacom.com</t>
  </si>
  <si>
    <t>agnieszka.kowalska@mediacom.com</t>
  </si>
  <si>
    <t>marcin.arkuszewski@mediacom.com</t>
  </si>
  <si>
    <t>marcin.piotrowicz@mediacom.com</t>
  </si>
  <si>
    <t>michal.romaniuk@mediacom.com</t>
  </si>
  <si>
    <t>katarzyna.kazana@mediacom.com</t>
  </si>
  <si>
    <t>bartosz.pajak@mediacom.com</t>
  </si>
  <si>
    <t>mikolaj.zglenicki@mediacom.com</t>
  </si>
  <si>
    <t>emil.loskot@mediacom.com</t>
  </si>
  <si>
    <t>aleksandra.michalska@mediacom.com</t>
  </si>
  <si>
    <t>dawid.pozoga@mediacom.com</t>
  </si>
  <si>
    <t>ewa.bukowska@mediacom.com</t>
  </si>
  <si>
    <t>anna.krzysiak@mediacom.com</t>
  </si>
  <si>
    <t>anna.wawrzeniuk@mediacom.com</t>
  </si>
  <si>
    <t>aleksandra.dabrowska@mediacom.com</t>
  </si>
  <si>
    <t>magdalena.paszkin@mediacom.com</t>
  </si>
  <si>
    <t>aneta.kogut@mediacom.com</t>
  </si>
  <si>
    <t>stefan.sawicki@mediacom.com</t>
  </si>
  <si>
    <t>jan.muszynski@mediacom.com</t>
  </si>
  <si>
    <t>eliza.kruszewska@mediacom.com</t>
  </si>
  <si>
    <t>anna.frasunkiewicz@mediacom.com</t>
  </si>
  <si>
    <t>maciej.bidacha@mediacom.com</t>
  </si>
  <si>
    <t>jerzy.wiacek@mediacom.com</t>
  </si>
  <si>
    <t>magdalena.krzesak@mediacom.com</t>
  </si>
  <si>
    <t>anna.majewska@mediacom.com</t>
  </si>
  <si>
    <t>edyta.zurek@mediacom.com</t>
  </si>
  <si>
    <t>dorota.szewczuk@mediacom.com</t>
  </si>
  <si>
    <t>alicja.kalinowska@mediacom.com</t>
  </si>
  <si>
    <t>mateusz.downar@mediacom.com</t>
  </si>
  <si>
    <t>magdalena.bijok@mediacom.com</t>
  </si>
  <si>
    <t>pawel.wieckowski@mediacom.com</t>
  </si>
  <si>
    <t>alicja.stefaniak@mediacom.com</t>
  </si>
  <si>
    <t>marta.zarosa@mediacom.com</t>
  </si>
  <si>
    <t>joanna.sidorowicz@mediacom.com</t>
  </si>
  <si>
    <t>bartosz.kowalski@mediacom.com</t>
  </si>
  <si>
    <t>eliza.kalinowska@mediacom.com</t>
  </si>
  <si>
    <t>joanna.nowik@mediacom.com</t>
  </si>
  <si>
    <t>kinga.maliszewska@mediacom.com</t>
  </si>
  <si>
    <t>joanna.jeziorek@mediacom.com</t>
  </si>
  <si>
    <t>paulina.borowska@mediacom.com</t>
  </si>
  <si>
    <t>leszek.trela@mediacom.com</t>
  </si>
  <si>
    <t>magdalena.drynkowska@mediacom.com</t>
  </si>
  <si>
    <t>malgorzata.slychan@mediacom.com</t>
  </si>
  <si>
    <t>bartosz.siemiatkowski@mediacom.com</t>
  </si>
  <si>
    <t>tomasz.jankowski@mediacom.com</t>
  </si>
  <si>
    <t>katarzyna.konewka@mediacom.com</t>
  </si>
  <si>
    <t>tomasz.czerwinski@mediacom.com</t>
  </si>
  <si>
    <t>emilia.golebiowska@mediacom.com</t>
  </si>
  <si>
    <t>natalia.siekierska@mediacom.com</t>
  </si>
  <si>
    <t>aleksandra.kaczmarek@mediacom.com</t>
  </si>
  <si>
    <t>anna.zwolinska@mediacom.com</t>
  </si>
  <si>
    <t>anna.wilk@mediacom.com</t>
  </si>
  <si>
    <t>paulina.salata@mediacom.com</t>
  </si>
  <si>
    <t>piotr.francuz@mediacom.com</t>
  </si>
  <si>
    <t>malgorzata.kudelka@mediacom.com</t>
  </si>
  <si>
    <t>klaudia.patok@mediacom.com</t>
  </si>
  <si>
    <t>katarzyna.gajus@mediacom.com</t>
  </si>
  <si>
    <t>andrzej.pankowski@mediacom.com</t>
  </si>
  <si>
    <t>anna.solka@mediacom.com</t>
  </si>
  <si>
    <t>agnieszka.rogala@mediacom.com</t>
  </si>
  <si>
    <t>katarzyna.sankiewicz@mediacom.com</t>
  </si>
  <si>
    <t>dariusz.wielgus@mediacom.com</t>
  </si>
  <si>
    <t>pawel.adamczyk@mediacom.com</t>
  </si>
  <si>
    <t>paulina.chudnicka@mediacom.com</t>
  </si>
  <si>
    <t>aneta.jarosz@mediacom.com</t>
  </si>
  <si>
    <t>karolina.kaszuba@mediacom.com</t>
  </si>
  <si>
    <t>magdalena.maziejuk@mediacom.com</t>
  </si>
  <si>
    <t>ewa.lyzwinska@mediacom.com</t>
  </si>
  <si>
    <t>urszula.kurek@mediacom.com</t>
  </si>
  <si>
    <t>antonina.komorowska@mediacom.com</t>
  </si>
  <si>
    <t>michal.czyszkowski@mediacom.com</t>
  </si>
  <si>
    <t>szymon.kocmiel@mediacom.com</t>
  </si>
  <si>
    <t>aleksandra.slupczynska@mediacom.com</t>
  </si>
  <si>
    <t>wioletta.gorska@mediacom.com</t>
  </si>
  <si>
    <t>lukasz.orzel@mediacom.com</t>
  </si>
  <si>
    <t>elwira.nawara@mediacom.com</t>
  </si>
  <si>
    <t>katarzyna.kosik@mediacom.com</t>
  </si>
  <si>
    <t>ewa.michalowska@mediacom.com</t>
  </si>
  <si>
    <t>joanna.makosa@mediacom.com</t>
  </si>
  <si>
    <t>dominika.piasecka@mediacom.com</t>
  </si>
  <si>
    <t>maciej.bienkowski@mediacom.com</t>
  </si>
  <si>
    <t>elzbieta.siwek@mediacom.com</t>
  </si>
  <si>
    <t>monika.ceglinska-maciak@mediacom.com</t>
  </si>
  <si>
    <t>roman.celinski@mediacom.com</t>
  </si>
  <si>
    <t>beata.kucharska@mediacom.com</t>
  </si>
  <si>
    <t>marcin.galusza@mediacom.com</t>
  </si>
  <si>
    <t>e-mail</t>
  </si>
  <si>
    <t>olga.dziewaltowska@mediacom.com</t>
  </si>
  <si>
    <t>karolina.rygalska@mediacom.com</t>
  </si>
  <si>
    <t>zuzanna.sielicka@mediacom.com</t>
  </si>
  <si>
    <t>birth_date</t>
  </si>
  <si>
    <t>sex</t>
  </si>
  <si>
    <t>citizenship</t>
  </si>
  <si>
    <t>telefon</t>
  </si>
  <si>
    <t>POL</t>
  </si>
  <si>
    <t>givenName</t>
  </si>
  <si>
    <t>sn</t>
  </si>
  <si>
    <t>displayName</t>
  </si>
  <si>
    <t>mobile</t>
  </si>
  <si>
    <t>Alexander</t>
  </si>
  <si>
    <t>Kowalski</t>
  </si>
  <si>
    <t>Alexander.Kowalski</t>
  </si>
  <si>
    <t>Aleksandra</t>
  </si>
  <si>
    <t>Zwierzynska</t>
  </si>
  <si>
    <t>Aleksandra Zwierzynska</t>
  </si>
  <si>
    <t>Magdalena</t>
  </si>
  <si>
    <t>Drynkowska</t>
  </si>
  <si>
    <t>Magdalena Drynkowska</t>
  </si>
  <si>
    <t>Dawid</t>
  </si>
  <si>
    <t>Walega</t>
  </si>
  <si>
    <t>Dawid Walega</t>
  </si>
  <si>
    <t>Malgorzata</t>
  </si>
  <si>
    <t>Bochenska</t>
  </si>
  <si>
    <t>Malgorzata Bochenska</t>
  </si>
  <si>
    <t>Slupczynska</t>
  </si>
  <si>
    <t>Aleksandra Slupczynska</t>
  </si>
  <si>
    <t>Wisniewski</t>
  </si>
  <si>
    <t>Dawid Wisniewski</t>
  </si>
  <si>
    <t>Andrzej</t>
  </si>
  <si>
    <t>Skibniewski</t>
  </si>
  <si>
    <t>Andrzej Skibniewski</t>
  </si>
  <si>
    <t>Marta</t>
  </si>
  <si>
    <t>Bartosik</t>
  </si>
  <si>
    <t>Marta Bartosik</t>
  </si>
  <si>
    <t>Marcin</t>
  </si>
  <si>
    <t>Gryko</t>
  </si>
  <si>
    <t>Marcin Gryko</t>
  </si>
  <si>
    <t>Karolina</t>
  </si>
  <si>
    <t>Rygalska</t>
  </si>
  <si>
    <t>Karolina Rygalska</t>
  </si>
  <si>
    <t>Michal</t>
  </si>
  <si>
    <t>Kot</t>
  </si>
  <si>
    <t>Michal Kot</t>
  </si>
  <si>
    <t>Renata</t>
  </si>
  <si>
    <t>Kwiatkowska</t>
  </si>
  <si>
    <t>Renata Kwiatkowska</t>
  </si>
  <si>
    <t>Przybyl</t>
  </si>
  <si>
    <t>Aleksandra Przybyl</t>
  </si>
  <si>
    <t>Maciej</t>
  </si>
  <si>
    <t>Bienkowski</t>
  </si>
  <si>
    <t>Maciej Bienkowski</t>
  </si>
  <si>
    <t>Stanislaw</t>
  </si>
  <si>
    <t>Grabowski</t>
  </si>
  <si>
    <t>Stanislaw Grabowski</t>
  </si>
  <si>
    <t>Mateusz</t>
  </si>
  <si>
    <t>Wanat</t>
  </si>
  <si>
    <t>Mateusz Wanat</t>
  </si>
  <si>
    <t>Zuzanna</t>
  </si>
  <si>
    <t>Sielicka</t>
  </si>
  <si>
    <t>Zuzanna Sielicka</t>
  </si>
  <si>
    <t>Anna</t>
  </si>
  <si>
    <t>Habela</t>
  </si>
  <si>
    <t>Anna Habela</t>
  </si>
  <si>
    <t>Kudelka</t>
  </si>
  <si>
    <t>Malgorzata Kudelka</t>
  </si>
  <si>
    <t>Slychan</t>
  </si>
  <si>
    <t>Malgorzata Slychan</t>
  </si>
  <si>
    <t>Kosik</t>
  </si>
  <si>
    <t>Katarzyna Zakrzewska</t>
  </si>
  <si>
    <t>Dorota</t>
  </si>
  <si>
    <t>Gruszecka</t>
  </si>
  <si>
    <t>Dorota Gruszecka</t>
  </si>
  <si>
    <t>Agnieszka</t>
  </si>
  <si>
    <t>Agnieszka Kosik</t>
  </si>
  <si>
    <t>Beata</t>
  </si>
  <si>
    <t>Miros</t>
  </si>
  <si>
    <t>Beata Miros</t>
  </si>
  <si>
    <t>Olga</t>
  </si>
  <si>
    <t>Sladkowska</t>
  </si>
  <si>
    <t>Olga Sladkowska</t>
  </si>
  <si>
    <t>Wawrzeniuk</t>
  </si>
  <si>
    <t>Anna Wawrzeniuk</t>
  </si>
  <si>
    <t>Gos</t>
  </si>
  <si>
    <t>Michal Gos</t>
  </si>
  <si>
    <t>Monika</t>
  </si>
  <si>
    <t>Dorosz</t>
  </si>
  <si>
    <t>Monika Dorosz</t>
  </si>
  <si>
    <t>Wioleta</t>
  </si>
  <si>
    <t>Sikora</t>
  </si>
  <si>
    <t>Wioleta Sikora</t>
  </si>
  <si>
    <t>Zarosa</t>
  </si>
  <si>
    <t>Marta Zarosa</t>
  </si>
  <si>
    <t>Dejneka</t>
  </si>
  <si>
    <t>Aleksandra Dejneka</t>
  </si>
  <si>
    <t>Romaniuk</t>
  </si>
  <si>
    <t>Anna Romaniuk</t>
  </si>
  <si>
    <t>Joanna</t>
  </si>
  <si>
    <t>Sidorowicz</t>
  </si>
  <si>
    <t>Joanna Sidorowicz</t>
  </si>
  <si>
    <t>Pawel</t>
  </si>
  <si>
    <t>Adamczyk</t>
  </si>
  <si>
    <t>Pawel Adamczyk</t>
  </si>
  <si>
    <t>Zujewicz</t>
  </si>
  <si>
    <t>Aleksandra Zujewicz</t>
  </si>
  <si>
    <t>Karina</t>
  </si>
  <si>
    <t>Oborska</t>
  </si>
  <si>
    <t>Karina Oborska</t>
  </si>
  <si>
    <t>Marzena</t>
  </si>
  <si>
    <t>Igras</t>
  </si>
  <si>
    <t>Marzena Igras</t>
  </si>
  <si>
    <t>Daniel</t>
  </si>
  <si>
    <t>Blaszczyk</t>
  </si>
  <si>
    <t>Daniel Blaszczyk</t>
  </si>
  <si>
    <t>Micewicz</t>
  </si>
  <si>
    <t>Agnieszka Micewicz</t>
  </si>
  <si>
    <t>Ewelina</t>
  </si>
  <si>
    <t>Stefaniak</t>
  </si>
  <si>
    <t>Ewelina Stefaniak</t>
  </si>
  <si>
    <t>Pozoga</t>
  </si>
  <si>
    <t>Dawid Pozoga</t>
  </si>
  <si>
    <t>Ewa</t>
  </si>
  <si>
    <t>Brzozowska</t>
  </si>
  <si>
    <t>Ewa Brzozowska</t>
  </si>
  <si>
    <t>Noemi</t>
  </si>
  <si>
    <t>Michalowska</t>
  </si>
  <si>
    <t>Noemi Michalowska</t>
  </si>
  <si>
    <t>Wojciech</t>
  </si>
  <si>
    <t>Zmudzinski</t>
  </si>
  <si>
    <t>Wojciech Zmudzinski</t>
  </si>
  <si>
    <t>Maria</t>
  </si>
  <si>
    <t>Klechniowska</t>
  </si>
  <si>
    <t>Maria Klechniowska</t>
  </si>
  <si>
    <t>Makosa</t>
  </si>
  <si>
    <t>Joanna Makosa</t>
  </si>
  <si>
    <t>Elzbieta</t>
  </si>
  <si>
    <t>Szumska</t>
  </si>
  <si>
    <t>Elzbieta Szumska</t>
  </si>
  <si>
    <t>Stobiecka</t>
  </si>
  <si>
    <t>Katarzyna Stobiecka</t>
  </si>
  <si>
    <t>Mocek</t>
  </si>
  <si>
    <t>Monika Mocek</t>
  </si>
  <si>
    <t>Jan</t>
  </si>
  <si>
    <t>Jan Adamczyk</t>
  </si>
  <si>
    <t>Zeleznik</t>
  </si>
  <si>
    <t>Joanna Zeleznik</t>
  </si>
  <si>
    <t>Saternus</t>
  </si>
  <si>
    <t>Agnieszka Saternus</t>
  </si>
  <si>
    <t>Pankowski</t>
  </si>
  <si>
    <t>Andrzej Pankowski</t>
  </si>
  <si>
    <t>Domagala</t>
  </si>
  <si>
    <t>Agnieszka Domagala</t>
  </si>
  <si>
    <t>Maksym</t>
  </si>
  <si>
    <t>Stala</t>
  </si>
  <si>
    <t>Maksym Stala</t>
  </si>
  <si>
    <t>Osinska</t>
  </si>
  <si>
    <t>Ewa Osinska</t>
  </si>
  <si>
    <t>Kubiak</t>
  </si>
  <si>
    <t>Katarzyna Kubiak</t>
  </si>
  <si>
    <t>Kovacs</t>
  </si>
  <si>
    <t>Anna Kovacs</t>
  </si>
  <si>
    <t>Pielunowicz</t>
  </si>
  <si>
    <t>Marcin Pielunowicz</t>
  </si>
  <si>
    <t>Jakub</t>
  </si>
  <si>
    <t>Wieteska</t>
  </si>
  <si>
    <t>Jakub Wieteska</t>
  </si>
  <si>
    <t>Ceglinska</t>
  </si>
  <si>
    <t>Monika Ceglinska</t>
  </si>
  <si>
    <t>Swoboda</t>
  </si>
  <si>
    <t>Magdalena Swoboda</t>
  </si>
  <si>
    <t>Kamil</t>
  </si>
  <si>
    <t>Kolak</t>
  </si>
  <si>
    <t>Kamil Kolak</t>
  </si>
  <si>
    <t>Wlodarczyk</t>
  </si>
  <si>
    <t>Joanna Wlodarczyk</t>
  </si>
  <si>
    <t>Ireneusz</t>
  </si>
  <si>
    <t>Janiczek</t>
  </si>
  <si>
    <t>Ireneusz Janiczek</t>
  </si>
  <si>
    <t>Lewandowski</t>
  </si>
  <si>
    <t>Pawel Lewandowski</t>
  </si>
  <si>
    <t>Jeziorek</t>
  </si>
  <si>
    <t>Joanna Jeziorek</t>
  </si>
  <si>
    <t>Lukasz</t>
  </si>
  <si>
    <t>Derecki</t>
  </si>
  <si>
    <t>Lukasz Derecki</t>
  </si>
  <si>
    <t>Wiech</t>
  </si>
  <si>
    <t>Monika Wiech</t>
  </si>
  <si>
    <t>Rogala</t>
  </si>
  <si>
    <t>Agnieszka Rogala</t>
  </si>
  <si>
    <t>Sienkiewicz</t>
  </si>
  <si>
    <t>Anna Sienkiewicz</t>
  </si>
  <si>
    <t>Kocot</t>
  </si>
  <si>
    <t>Joanna Kocot</t>
  </si>
  <si>
    <t>Bartosz</t>
  </si>
  <si>
    <t>Siemiatkowski</t>
  </si>
  <si>
    <t>Bartosz Siemiatkowski</t>
  </si>
  <si>
    <t>Bielakowska</t>
  </si>
  <si>
    <t>Elzbieta Bielakowska</t>
  </si>
  <si>
    <t>Tomasz</t>
  </si>
  <si>
    <t>Jankowski</t>
  </si>
  <si>
    <t>Tomasz Jankowski</t>
  </si>
  <si>
    <t>Zwolinska</t>
  </si>
  <si>
    <t>Anna Zwolinska</t>
  </si>
  <si>
    <t>Boroń</t>
  </si>
  <si>
    <t>Maciej Boron</t>
  </si>
  <si>
    <t>Machul</t>
  </si>
  <si>
    <t>Aleksandra Machul</t>
  </si>
  <si>
    <t>Jerzy</t>
  </si>
  <si>
    <t>Wiacek</t>
  </si>
  <si>
    <t>Jerzy Wiacek</t>
  </si>
  <si>
    <t>Konrad</t>
  </si>
  <si>
    <t>Wiak</t>
  </si>
  <si>
    <t>Konrad Wiak</t>
  </si>
  <si>
    <t>Kierzkowska</t>
  </si>
  <si>
    <t>Beata Kierzkowska</t>
  </si>
  <si>
    <t>Filip</t>
  </si>
  <si>
    <t>Matusiewicz</t>
  </si>
  <si>
    <t>Filip Matusiewicz</t>
  </si>
  <si>
    <t>Kolodziejak</t>
  </si>
  <si>
    <t>Zien</t>
  </si>
  <si>
    <t>Kamil Zien</t>
  </si>
  <si>
    <t>Piotrowicz</t>
  </si>
  <si>
    <t>Marcin Piotrowicz</t>
  </si>
  <si>
    <t>Szymanska</t>
  </si>
  <si>
    <t>Marta Szymanska</t>
  </si>
  <si>
    <t>Patryk</t>
  </si>
  <si>
    <t>Dykas</t>
  </si>
  <si>
    <t>Patryk Dykas</t>
  </si>
  <si>
    <t>Justyna</t>
  </si>
  <si>
    <t>Pawlik</t>
  </si>
  <si>
    <t>Justyna Pawlik</t>
  </si>
  <si>
    <t>Majewska</t>
  </si>
  <si>
    <t>Anna Majewska</t>
  </si>
  <si>
    <t>Emilia</t>
  </si>
  <si>
    <t>Golebiowska</t>
  </si>
  <si>
    <t>Emilia Golebiowska</t>
  </si>
  <si>
    <t>Wojtal</t>
  </si>
  <si>
    <t>Agnieszka Wojtal</t>
  </si>
  <si>
    <t>Pajak</t>
  </si>
  <si>
    <t>Bartosz Pajak</t>
  </si>
  <si>
    <t>Oledzka</t>
  </si>
  <si>
    <t>Anna Oledzka</t>
  </si>
  <si>
    <t>Arkuszewski</t>
  </si>
  <si>
    <t>Marcin Arkuszewski</t>
  </si>
  <si>
    <t>Kaczmarczyk</t>
  </si>
  <si>
    <t>Konrad Kaczmarczyk</t>
  </si>
  <si>
    <t>Antonina</t>
  </si>
  <si>
    <t>Lukasiewicz</t>
  </si>
  <si>
    <t>Antonina Lukasiewicz</t>
  </si>
  <si>
    <t>Maciak</t>
  </si>
  <si>
    <t>Michal Maciak</t>
  </si>
  <si>
    <t>Treblinska</t>
  </si>
  <si>
    <t>Malgorzata Treblinska</t>
  </si>
  <si>
    <t>L</t>
  </si>
  <si>
    <t>Pelszynski</t>
  </si>
  <si>
    <t>Lukasz Pelszynski</t>
  </si>
  <si>
    <t>Agata</t>
  </si>
  <si>
    <t>Olszewska</t>
  </si>
  <si>
    <t>Agata Olszewska</t>
  </si>
  <si>
    <t>Edyta</t>
  </si>
  <si>
    <t>Zurek</t>
  </si>
  <si>
    <t>Edyta Zurek</t>
  </si>
  <si>
    <t>Eliza</t>
  </si>
  <si>
    <t>Kruszewska</t>
  </si>
  <si>
    <t>Eliza Kruszewska</t>
  </si>
  <si>
    <t>Szymon</t>
  </si>
  <si>
    <t>Kocmiel</t>
  </si>
  <si>
    <t>Szymon Kocmiel</t>
  </si>
  <si>
    <t>Zielinski</t>
  </si>
  <si>
    <t>Pawel Zielinski</t>
  </si>
  <si>
    <t>Sadluk</t>
  </si>
  <si>
    <t>Katarzyna Sadluk</t>
  </si>
  <si>
    <t>Jacek</t>
  </si>
  <si>
    <t>Suchecki</t>
  </si>
  <si>
    <t>Jacek Suchecki</t>
  </si>
  <si>
    <t>Marciniak</t>
  </si>
  <si>
    <t>Daniel Marciniak</t>
  </si>
  <si>
    <t>Stefan</t>
  </si>
  <si>
    <t>Sawicki</t>
  </si>
  <si>
    <t>Stefan Sawicki</t>
  </si>
  <si>
    <t>Artur</t>
  </si>
  <si>
    <t>Gorczak</t>
  </si>
  <si>
    <t>Artur Gorczak</t>
  </si>
  <si>
    <t>Downar</t>
  </si>
  <si>
    <t>Mateusz Downar</t>
  </si>
  <si>
    <t>Jasinski</t>
  </si>
  <si>
    <t>Michal Jasinski</t>
  </si>
  <si>
    <t>Natalia</t>
  </si>
  <si>
    <t>Siekierska</t>
  </si>
  <si>
    <t>Natalia Siekierska</t>
  </si>
  <si>
    <t>Ewa Michalowska</t>
  </si>
  <si>
    <t>Kinga</t>
  </si>
  <si>
    <t>Koperska</t>
  </si>
  <si>
    <t>Kinga Koperska</t>
  </si>
  <si>
    <t>Alicja</t>
  </si>
  <si>
    <t>Alicja Stefaniak</t>
  </si>
  <si>
    <t>Milena</t>
  </si>
  <si>
    <t>Molska</t>
  </si>
  <si>
    <t>Milena Molska</t>
  </si>
  <si>
    <t>Wilkomirska</t>
  </si>
  <si>
    <t>Joanna Wilkomirska</t>
  </si>
  <si>
    <t>Krystyna</t>
  </si>
  <si>
    <t>Rabinska</t>
  </si>
  <si>
    <t>Krystyna Rabinska</t>
  </si>
  <si>
    <t>Grzelak</t>
  </si>
  <si>
    <t>Jakub Grzelak</t>
  </si>
  <si>
    <t>Czyszkowski</t>
  </si>
  <si>
    <t>Michal Czyszkowski</t>
  </si>
  <si>
    <t>Kulawik</t>
  </si>
  <si>
    <t>Elzbieta Kulawik</t>
  </si>
  <si>
    <t>Komorowska</t>
  </si>
  <si>
    <t>Antonina Komorowska</t>
  </si>
  <si>
    <t>Kalina</t>
  </si>
  <si>
    <t>Jerzynska</t>
  </si>
  <si>
    <t>Kalina Jerzynska</t>
  </si>
  <si>
    <t>Frasunkiewicz</t>
  </si>
  <si>
    <t>Anna Frasunkiewicz</t>
  </si>
  <si>
    <t>Lyzwinska</t>
  </si>
  <si>
    <t>Ewa Lyzwinska</t>
  </si>
  <si>
    <t xml:space="preserve"> Domanski</t>
  </si>
  <si>
    <t>Kamil  Domanski</t>
  </si>
  <si>
    <t>Bialorucka</t>
  </si>
  <si>
    <t>Joanna Bialorucka</t>
  </si>
  <si>
    <t>Katarina</t>
  </si>
  <si>
    <t>Nucic</t>
  </si>
  <si>
    <t>Katarina Nucic</t>
  </si>
  <si>
    <t>Krzyczkowski</t>
  </si>
  <si>
    <t>Marcin Krzyczkowski</t>
  </si>
  <si>
    <t>Aneta</t>
  </si>
  <si>
    <t>Jarosz</t>
  </si>
  <si>
    <t>Aneta Jarosz</t>
  </si>
  <si>
    <t>Vaidas</t>
  </si>
  <si>
    <t>Mikutavicius</t>
  </si>
  <si>
    <t>Vaidas Mikutavicius</t>
  </si>
  <si>
    <t>Leszek</t>
  </si>
  <si>
    <t>Trela</t>
  </si>
  <si>
    <t>Leszek Trela</t>
  </si>
  <si>
    <t>Wioletta</t>
  </si>
  <si>
    <t>Gorska</t>
  </si>
  <si>
    <t>Wioletta Gorska</t>
  </si>
  <si>
    <t>Orzel</t>
  </si>
  <si>
    <t>Lukasz Orzel</t>
  </si>
  <si>
    <t>Daria</t>
  </si>
  <si>
    <t>Malisz</t>
  </si>
  <si>
    <t>Daria Malisz</t>
  </si>
  <si>
    <t>Wojcik</t>
  </si>
  <si>
    <t>Marzena Wojcik</t>
  </si>
  <si>
    <t>Bukowska</t>
  </si>
  <si>
    <t>Ewa Bukowska</t>
  </si>
  <si>
    <t>Galek</t>
  </si>
  <si>
    <t>Agnieszka Galek</t>
  </si>
  <si>
    <t>Marzel</t>
  </si>
  <si>
    <t>Lukasz Marzel</t>
  </si>
  <si>
    <t>Paszkin</t>
  </si>
  <si>
    <t>Magdalena Paszkin</t>
  </si>
  <si>
    <t>Swidnicka</t>
  </si>
  <si>
    <t>Anna Swidnicka</t>
  </si>
  <si>
    <t>Angelika</t>
  </si>
  <si>
    <t>Strzalkowska</t>
  </si>
  <si>
    <t>Angelika Strzalkowska</t>
  </si>
  <si>
    <t>Szewczuk</t>
  </si>
  <si>
    <t>Dorota Szewczuk</t>
  </si>
  <si>
    <t>Paulina</t>
  </si>
  <si>
    <t>Salata</t>
  </si>
  <si>
    <t>Paulina Salata</t>
  </si>
  <si>
    <t>Buszko</t>
  </si>
  <si>
    <t>Michal Buszko</t>
  </si>
  <si>
    <t>Daina</t>
  </si>
  <si>
    <t>Krieva</t>
  </si>
  <si>
    <t>Daina Krieva</t>
  </si>
  <si>
    <t>Saczawa</t>
  </si>
  <si>
    <t>Pawel Saczawa</t>
  </si>
  <si>
    <t>Dobek</t>
  </si>
  <si>
    <t>Marcin Dobek</t>
  </si>
  <si>
    <t>Krzysiak</t>
  </si>
  <si>
    <t>Anna Krzysiak</t>
  </si>
  <si>
    <t>Stankiewicz</t>
  </si>
  <si>
    <t>Agnieszka Stankiewicz</t>
  </si>
  <si>
    <t>Elwira</t>
  </si>
  <si>
    <t>Faluszewska</t>
  </si>
  <si>
    <t>Elwira Faluszewska</t>
  </si>
  <si>
    <t>Lukaszewicz</t>
  </si>
  <si>
    <t>Marcin Lukaszewicz</t>
  </si>
  <si>
    <t>Urszula</t>
  </si>
  <si>
    <t>Kurek</t>
  </si>
  <si>
    <t>Urszula Kurek</t>
  </si>
  <si>
    <t>Ewa Sladkowska</t>
  </si>
  <si>
    <t>Woloszyn</t>
  </si>
  <si>
    <t>Beata Woloszyn</t>
  </si>
  <si>
    <t>Myslek</t>
  </si>
  <si>
    <t>Tomasz Myslek</t>
  </si>
  <si>
    <t>Wroblewski</t>
  </si>
  <si>
    <t>Lukasz Wroblewski</t>
  </si>
  <si>
    <t>Chudnicka</t>
  </si>
  <si>
    <t>Paulina Chudnicka</t>
  </si>
  <si>
    <t>Denis</t>
  </si>
  <si>
    <t>Agnieszka Denis</t>
  </si>
  <si>
    <t>Maliszewska</t>
  </si>
  <si>
    <t>Kinga Maliszewska</t>
  </si>
  <si>
    <t>Piotr</t>
  </si>
  <si>
    <t>Klucinski</t>
  </si>
  <si>
    <t>Piotr Klucinski</t>
  </si>
  <si>
    <t>Olejnik</t>
  </si>
  <si>
    <t>Aleksandra Olejnik</t>
  </si>
  <si>
    <t>Wyszynski</t>
  </si>
  <si>
    <t>Mateusz Wyszynski</t>
  </si>
  <si>
    <t>Bernacki</t>
  </si>
  <si>
    <t>Maciej Bernacki</t>
  </si>
  <si>
    <t>Martasz</t>
  </si>
  <si>
    <t>skan</t>
  </si>
  <si>
    <t>Martasz skan</t>
  </si>
  <si>
    <t>Krolak</t>
  </si>
  <si>
    <t>Ewelina Krolak</t>
  </si>
  <si>
    <t>Sankiewicz</t>
  </si>
  <si>
    <t>Katarzyna Sankiewicz</t>
  </si>
  <si>
    <t>Konewka</t>
  </si>
  <si>
    <t>Katarzyna Konewka</t>
  </si>
  <si>
    <t>Jaroslaw</t>
  </si>
  <si>
    <t>Jaroslaw Dejneka</t>
  </si>
  <si>
    <t>Rafal</t>
  </si>
  <si>
    <t>Wojtaszek</t>
  </si>
  <si>
    <t>Rafal Wojtaszek</t>
  </si>
  <si>
    <t>Bidacha</t>
  </si>
  <si>
    <t>Maciej Bidacha</t>
  </si>
  <si>
    <t>Kejler</t>
  </si>
  <si>
    <t>Stanislaw Kejler</t>
  </si>
  <si>
    <t>Wilk</t>
  </si>
  <si>
    <t>Anna Wilk</t>
  </si>
  <si>
    <t>Zukowski</t>
  </si>
  <si>
    <t>Marcin Zukowski</t>
  </si>
  <si>
    <t>Noruk</t>
  </si>
  <si>
    <t>Agnieszka Noruk</t>
  </si>
  <si>
    <t>Marlena</t>
  </si>
  <si>
    <t>Cyprys</t>
  </si>
  <si>
    <t>Marlena Cyprys</t>
  </si>
  <si>
    <t>Jaromir</t>
  </si>
  <si>
    <t>Szmitkowski</t>
  </si>
  <si>
    <t>Jaromir Szmitkowski</t>
  </si>
  <si>
    <t>Zagrodzki</t>
  </si>
  <si>
    <t>Jan Zagrodzki</t>
  </si>
  <si>
    <t>Zubel</t>
  </si>
  <si>
    <t>Natalia Zubel</t>
  </si>
  <si>
    <t>Szulc</t>
  </si>
  <si>
    <t>Filip Szulc</t>
  </si>
  <si>
    <t>Weglowski</t>
  </si>
  <si>
    <t>Bartosz Weglowski</t>
  </si>
  <si>
    <t>Grudowski</t>
  </si>
  <si>
    <t>Rafal Grudowski</t>
  </si>
  <si>
    <t>Robert</t>
  </si>
  <si>
    <t>Ploch</t>
  </si>
  <si>
    <t>Robert Ploch</t>
  </si>
  <si>
    <t>Kowalewska</t>
  </si>
  <si>
    <t>Olga Kowalewska</t>
  </si>
  <si>
    <t>Rudzik</t>
  </si>
  <si>
    <t>Dawid Rudzik</t>
  </si>
  <si>
    <t>Dubielecka</t>
  </si>
  <si>
    <t>Dorota Dubielecka</t>
  </si>
  <si>
    <t>Kalinowska</t>
  </si>
  <si>
    <t>Alicja Kalinowska</t>
  </si>
  <si>
    <t>Wieckowski</t>
  </si>
  <si>
    <t>Pawel Wieckowski</t>
  </si>
  <si>
    <t>Kazana</t>
  </si>
  <si>
    <t>Katarzyna Kazana</t>
  </si>
  <si>
    <t>Skrzydlo</t>
  </si>
  <si>
    <t>Anna Skrzydlo</t>
  </si>
  <si>
    <t>Tumanow</t>
  </si>
  <si>
    <t>Ewa Tumanow</t>
  </si>
  <si>
    <t>Zyluk</t>
  </si>
  <si>
    <t>Beata Zyluk</t>
  </si>
  <si>
    <t>Rodzik</t>
  </si>
  <si>
    <t>Anna Rodzik</t>
  </si>
  <si>
    <t>Radzikowska</t>
  </si>
  <si>
    <t>Olga Radzikowska</t>
  </si>
  <si>
    <t>Izabela</t>
  </si>
  <si>
    <t>Malinowska</t>
  </si>
  <si>
    <t>Izabela Malinowska</t>
  </si>
  <si>
    <t>Krzysztof</t>
  </si>
  <si>
    <t>Zakrocki</t>
  </si>
  <si>
    <t>Krzysztof Zakrocki</t>
  </si>
  <si>
    <t>Michael</t>
  </si>
  <si>
    <t>Monika Michael</t>
  </si>
  <si>
    <t>Joanna Zurek</t>
  </si>
  <si>
    <t>Jesionowska</t>
  </si>
  <si>
    <t>Zuzanna Jesionowska</t>
  </si>
  <si>
    <t>Gronau</t>
  </si>
  <si>
    <t>Maciej Gronau</t>
  </si>
  <si>
    <t>Katya</t>
  </si>
  <si>
    <t>Yankovskaya</t>
  </si>
  <si>
    <t>Katya Yankovskaya</t>
  </si>
  <si>
    <t>Filipczuk</t>
  </si>
  <si>
    <t>Agata Filipczuk</t>
  </si>
  <si>
    <t>Kossut</t>
  </si>
  <si>
    <t>Jakub Kossut</t>
  </si>
  <si>
    <t>Czerwinski</t>
  </si>
  <si>
    <t>Tomasz Czerwinski</t>
  </si>
  <si>
    <t>Gaj</t>
  </si>
  <si>
    <t>Katarzyna Gaj</t>
  </si>
  <si>
    <t>Sacha</t>
  </si>
  <si>
    <t>Daria Sacha</t>
  </si>
  <si>
    <t>Kolodziej</t>
  </si>
  <si>
    <t>Katarzyna Kolodziej</t>
  </si>
  <si>
    <t>Zelechowski</t>
  </si>
  <si>
    <t>Lukasz Zelechowski</t>
  </si>
  <si>
    <t>Okla</t>
  </si>
  <si>
    <t>Joanna Okla</t>
  </si>
  <si>
    <t>Luszczynski</t>
  </si>
  <si>
    <t>Artur Luszczynski</t>
  </si>
  <si>
    <t>Aleksandra Szumska</t>
  </si>
  <si>
    <t>Lauks</t>
  </si>
  <si>
    <t>Leszek Lauks</t>
  </si>
  <si>
    <t>Damian</t>
  </si>
  <si>
    <t>Popkowski</t>
  </si>
  <si>
    <t>Damian Popkowski</t>
  </si>
  <si>
    <t>Dabrowska</t>
  </si>
  <si>
    <t>Aleksandra Dabrowska</t>
  </si>
  <si>
    <t>Nowik</t>
  </si>
  <si>
    <t>Joanna Nowik</t>
  </si>
  <si>
    <t>Roman</t>
  </si>
  <si>
    <t>Celinski</t>
  </si>
  <si>
    <t>Roman Celinski</t>
  </si>
  <si>
    <t>Ildiko</t>
  </si>
  <si>
    <t>Siimon</t>
  </si>
  <si>
    <t>Ildiko Siimon</t>
  </si>
  <si>
    <t>Slawomir</t>
  </si>
  <si>
    <t>Pawlak</t>
  </si>
  <si>
    <t>Slawomir Pawlak</t>
  </si>
  <si>
    <t>Eliza Kalinowska</t>
  </si>
  <si>
    <t>Krassowska</t>
  </si>
  <si>
    <t>Kalina Krassowska</t>
  </si>
  <si>
    <t>Getka</t>
  </si>
  <si>
    <t>Kamil Getka</t>
  </si>
  <si>
    <t>Lichwierowicz</t>
  </si>
  <si>
    <t>Agata Lichwierowicz</t>
  </si>
  <si>
    <t>Gutkowska</t>
  </si>
  <si>
    <t>Malgorzata Gutkowska</t>
  </si>
  <si>
    <t>Kowalska</t>
  </si>
  <si>
    <t>Agnieszka Kowalska</t>
  </si>
  <si>
    <t>Tomasz Romaniuk</t>
  </si>
  <si>
    <t>Andrusewicz</t>
  </si>
  <si>
    <t>Natalia Andrusewicz</t>
  </si>
  <si>
    <t>Kolpak</t>
  </si>
  <si>
    <t>Aneta Kolpak</t>
  </si>
  <si>
    <t>Ryszard</t>
  </si>
  <si>
    <t>Matyskiel</t>
  </si>
  <si>
    <t>Ryszard Matyskiel</t>
  </si>
  <si>
    <t>Posiadala</t>
  </si>
  <si>
    <t>Katarzyna Posiadala</t>
  </si>
  <si>
    <t>Maja</t>
  </si>
  <si>
    <t>Fiuk</t>
  </si>
  <si>
    <t>Maja Fiuk</t>
  </si>
  <si>
    <t>Lena</t>
  </si>
  <si>
    <t>Zajaczkowska</t>
  </si>
  <si>
    <t>Lena Zajaczkowska</t>
  </si>
  <si>
    <t>Grzegorz</t>
  </si>
  <si>
    <t>Grzegorz Gaj</t>
  </si>
  <si>
    <t>Apanowicz</t>
  </si>
  <si>
    <t>Malgorzata Apanowicz</t>
  </si>
  <si>
    <t>Borkowska</t>
  </si>
  <si>
    <t>Justyna Borkowska</t>
  </si>
  <si>
    <t>Banach</t>
  </si>
  <si>
    <t>Artur Banach</t>
  </si>
  <si>
    <t>Golab</t>
  </si>
  <si>
    <t>Malgorzata Golab</t>
  </si>
  <si>
    <t>Fosiewicz</t>
  </si>
  <si>
    <t>Jaroslaw Fosiewicz</t>
  </si>
  <si>
    <t>Klaudia</t>
  </si>
  <si>
    <t>Klaudia Dabrowska</t>
  </si>
  <si>
    <t>Franciszczak</t>
  </si>
  <si>
    <t>Marta Franciszczak</t>
  </si>
  <si>
    <t>Kogut</t>
  </si>
  <si>
    <t>Aneta Kogut</t>
  </si>
  <si>
    <t>Gosk</t>
  </si>
  <si>
    <t>Aneta Gosk</t>
  </si>
  <si>
    <t>Zubrzycka</t>
  </si>
  <si>
    <t>Katarzyna Zubrzycka</t>
  </si>
  <si>
    <t>Klimczak</t>
  </si>
  <si>
    <t>Marcin Klimczak</t>
  </si>
  <si>
    <t>Parfienowicz</t>
  </si>
  <si>
    <t>Agnieszka Parfienowicz</t>
  </si>
  <si>
    <t>Adam</t>
  </si>
  <si>
    <t>Bak</t>
  </si>
  <si>
    <t>Adam Bak</t>
  </si>
  <si>
    <t>Helen</t>
  </si>
  <si>
    <t>Vester</t>
  </si>
  <si>
    <t>Helen Vester</t>
  </si>
  <si>
    <t>Szczerba</t>
  </si>
  <si>
    <t>Tomasz Szczerba</t>
  </si>
  <si>
    <t>Wegrzyn</t>
  </si>
  <si>
    <t>Tomasz Wegrzyn</t>
  </si>
  <si>
    <t>Jablonska</t>
  </si>
  <si>
    <t>Klaudia Jablonska</t>
  </si>
  <si>
    <t>Grzyb</t>
  </si>
  <si>
    <t>Monika Grzyb</t>
  </si>
  <si>
    <t>Galusza</t>
  </si>
  <si>
    <t>Marcin Galusza</t>
  </si>
  <si>
    <t>Stefanska</t>
  </si>
  <si>
    <t>Anna Stefanska</t>
  </si>
  <si>
    <t>Nina</t>
  </si>
  <si>
    <t>Nina Blaszczyk</t>
  </si>
  <si>
    <t>Szmitkowska</t>
  </si>
  <si>
    <t>Ewelina Szmitkowska</t>
  </si>
  <si>
    <t>Bijok</t>
  </si>
  <si>
    <t>Magdalena Bijok</t>
  </si>
  <si>
    <t>Dzierzedzka</t>
  </si>
  <si>
    <t>Anna Dzierzedzka</t>
  </si>
  <si>
    <t>Michal Romaniuk</t>
  </si>
  <si>
    <t>Gajus</t>
  </si>
  <si>
    <t>Katarzyna Gajus</t>
  </si>
  <si>
    <t>Czerska</t>
  </si>
  <si>
    <t>Justyna Czerska</t>
  </si>
  <si>
    <t>Nawara</t>
  </si>
  <si>
    <t>Elwira Nawara</t>
  </si>
  <si>
    <t>Malek</t>
  </si>
  <si>
    <t>Rafal Malek</t>
  </si>
  <si>
    <t>Konieczka</t>
  </si>
  <si>
    <t>Maja Konieczka</t>
  </si>
  <si>
    <t>Pierzynowski</t>
  </si>
  <si>
    <t>Lukasz Pierzynowski</t>
  </si>
  <si>
    <t>Francuz</t>
  </si>
  <si>
    <t>Piotr Francuz</t>
  </si>
  <si>
    <t>Prucnel</t>
  </si>
  <si>
    <t>Aleksandra Prucnel</t>
  </si>
  <si>
    <t>Sindrewicz</t>
  </si>
  <si>
    <t>Dawid Sindrewicz</t>
  </si>
  <si>
    <t>Muszynski</t>
  </si>
  <si>
    <t>Jan Muszynski</t>
  </si>
  <si>
    <t>Sitek</t>
  </si>
  <si>
    <t>Piotr Sitek</t>
  </si>
  <si>
    <t>Goralczyk</t>
  </si>
  <si>
    <t>Ewa Goralczyk</t>
  </si>
  <si>
    <t>Lewczuk</t>
  </si>
  <si>
    <t>Anna Lewczuk</t>
  </si>
  <si>
    <t>Dominika</t>
  </si>
  <si>
    <t>Piasecka</t>
  </si>
  <si>
    <t>Dominika Piasecka</t>
  </si>
  <si>
    <t>Klosaj</t>
  </si>
  <si>
    <t>Damian Klosaj</t>
  </si>
  <si>
    <t>Orlowski</t>
  </si>
  <si>
    <t>Bartosz Orlowski</t>
  </si>
  <si>
    <t>Patrycja</t>
  </si>
  <si>
    <t>Szwenk</t>
  </si>
  <si>
    <t>Patrycja Szwenk</t>
  </si>
  <si>
    <t>Jaroslaw Pajak</t>
  </si>
  <si>
    <t>Gurek</t>
  </si>
  <si>
    <t>Anna Gurek</t>
  </si>
  <si>
    <t>Skowronski</t>
  </si>
  <si>
    <t>Tomasz Skowronski</t>
  </si>
  <si>
    <t>Dziewaltowska</t>
  </si>
  <si>
    <t>Olga Dziewaltowska</t>
  </si>
  <si>
    <t>Tkaczyk</t>
  </si>
  <si>
    <t>Pawel Tkaczyk</t>
  </si>
  <si>
    <t>Jakimiuk</t>
  </si>
  <si>
    <t>Joanna Jakimiuk</t>
  </si>
  <si>
    <t>fxLookUpIndex</t>
  </si>
  <si>
    <t>fxLookUpMobile</t>
  </si>
  <si>
    <t>698645751</t>
  </si>
  <si>
    <t>664192136</t>
  </si>
  <si>
    <t>604266029</t>
  </si>
  <si>
    <t>660621574</t>
  </si>
  <si>
    <t>664192143</t>
  </si>
  <si>
    <t>664164821</t>
  </si>
  <si>
    <t>660621553</t>
  </si>
  <si>
    <t>600071410</t>
  </si>
  <si>
    <t>784970861</t>
  </si>
  <si>
    <t>664192139</t>
  </si>
  <si>
    <t>792275507</t>
  </si>
  <si>
    <t>664192108</t>
  </si>
  <si>
    <t>660776274</t>
  </si>
  <si>
    <t>692465886</t>
  </si>
  <si>
    <t>784019572</t>
  </si>
  <si>
    <t>795568941</t>
  </si>
  <si>
    <t>784019722</t>
  </si>
  <si>
    <t>604241304</t>
  </si>
  <si>
    <t>692445707</t>
  </si>
  <si>
    <t>692418356</t>
  </si>
  <si>
    <t>660621569</t>
  </si>
  <si>
    <t>660776435</t>
  </si>
  <si>
    <t>692446632</t>
  </si>
  <si>
    <t>660621575</t>
  </si>
  <si>
    <t>664192138</t>
  </si>
  <si>
    <t>692415782</t>
  </si>
  <si>
    <t>602117417</t>
  </si>
  <si>
    <t>784958016</t>
  </si>
  <si>
    <t>602245949</t>
  </si>
  <si>
    <t>692416473</t>
  </si>
  <si>
    <t>660621551</t>
  </si>
  <si>
    <t>660621555</t>
  </si>
  <si>
    <t>660621571</t>
  </si>
  <si>
    <t>664192112</t>
  </si>
  <si>
    <t>664164824</t>
  </si>
  <si>
    <t>662666304</t>
  </si>
  <si>
    <t>664192116</t>
  </si>
  <si>
    <t>664192145</t>
  </si>
  <si>
    <t>660621570</t>
  </si>
  <si>
    <t>698645668</t>
  </si>
  <si>
    <t>660621576</t>
  </si>
  <si>
    <t>664192132</t>
  </si>
  <si>
    <t>660776182</t>
  </si>
  <si>
    <t>784019365</t>
  </si>
  <si>
    <t>600924658</t>
  </si>
  <si>
    <t>660775967</t>
  </si>
  <si>
    <t>664192148</t>
  </si>
  <si>
    <t>784940169</t>
  </si>
  <si>
    <t>692414599</t>
  </si>
  <si>
    <t>692415053</t>
  </si>
  <si>
    <t>692439974</t>
  </si>
  <si>
    <t>660621568</t>
  </si>
  <si>
    <t>692445708</t>
  </si>
  <si>
    <t>664192141</t>
  </si>
  <si>
    <t>692450296</t>
  </si>
  <si>
    <t>660621554</t>
  </si>
  <si>
    <t>664192115</t>
  </si>
  <si>
    <t>664164822</t>
  </si>
  <si>
    <t>784964412</t>
  </si>
  <si>
    <t>692418415</t>
  </si>
  <si>
    <t>664192124</t>
  </si>
  <si>
    <t>660621563</t>
  </si>
  <si>
    <t>692447352</t>
  </si>
  <si>
    <t>784958039</t>
  </si>
  <si>
    <t>664192117</t>
  </si>
  <si>
    <t>660621557</t>
  </si>
  <si>
    <t>606430055</t>
  </si>
  <si>
    <t>608619201</t>
  </si>
  <si>
    <t>692445706</t>
  </si>
  <si>
    <t>795135572</t>
  </si>
  <si>
    <t>668830252</t>
  </si>
  <si>
    <t>784971066</t>
  </si>
  <si>
    <t>605960364</t>
  </si>
  <si>
    <t>608618793</t>
  </si>
  <si>
    <t>664192120</t>
  </si>
  <si>
    <t>602271600</t>
  </si>
  <si>
    <t>664192140</t>
  </si>
  <si>
    <t>784958065</t>
  </si>
  <si>
    <t>795135570</t>
  </si>
  <si>
    <t>784019978</t>
  </si>
  <si>
    <t>602633106</t>
  </si>
  <si>
    <t>660775451</t>
  </si>
  <si>
    <t>692428687</t>
  </si>
  <si>
    <t>664164828</t>
  </si>
  <si>
    <t>795566956</t>
  </si>
  <si>
    <t>692448046</t>
  </si>
  <si>
    <t>784964901</t>
  </si>
  <si>
    <t>660621566</t>
  </si>
  <si>
    <t>664192128</t>
  </si>
  <si>
    <t>602510357</t>
  </si>
  <si>
    <t>664192114</t>
  </si>
  <si>
    <t>796702597</t>
  </si>
  <si>
    <t>795135568</t>
  </si>
  <si>
    <t>664192125</t>
  </si>
  <si>
    <t>664164827</t>
  </si>
  <si>
    <t>698645830</t>
  </si>
  <si>
    <t>692431272</t>
  </si>
  <si>
    <t>660621572</t>
  </si>
  <si>
    <t>795135569</t>
  </si>
  <si>
    <t>606444824</t>
  </si>
  <si>
    <t>692423341</t>
  </si>
  <si>
    <t>664192109</t>
  </si>
  <si>
    <t>694432448</t>
  </si>
  <si>
    <t>698645561</t>
  </si>
  <si>
    <t>660621560</t>
  </si>
  <si>
    <t>664192110</t>
  </si>
  <si>
    <t>692448609</t>
  </si>
  <si>
    <t>692431235</t>
  </si>
  <si>
    <t>696419660</t>
  </si>
  <si>
    <t>664192113</t>
  </si>
  <si>
    <t>604220632</t>
  </si>
  <si>
    <t>664192121</t>
  </si>
  <si>
    <t>692447421</t>
  </si>
  <si>
    <t>698645860</t>
  </si>
  <si>
    <t>660621562</t>
  </si>
  <si>
    <t>602326323</t>
  </si>
  <si>
    <t>660621561</t>
  </si>
  <si>
    <t>692420603</t>
  </si>
  <si>
    <t>660621565</t>
  </si>
  <si>
    <t>664192130</t>
  </si>
  <si>
    <t>692431838</t>
  </si>
  <si>
    <t>692421999</t>
  </si>
  <si>
    <t>692245683</t>
  </si>
  <si>
    <t>606444822</t>
  </si>
  <si>
    <t>660621552</t>
  </si>
  <si>
    <t>600452204</t>
  </si>
  <si>
    <t>238</t>
  </si>
  <si>
    <t>604266907</t>
  </si>
  <si>
    <t>600458161</t>
  </si>
  <si>
    <t>692431224</t>
  </si>
  <si>
    <t>660621559</t>
  </si>
  <si>
    <t>660621556</t>
  </si>
  <si>
    <t>664164823</t>
  </si>
  <si>
    <t>608619304</t>
  </si>
  <si>
    <t>784020170</t>
  </si>
  <si>
    <t>606444823</t>
  </si>
  <si>
    <t>668464439</t>
  </si>
  <si>
    <t>668464372</t>
  </si>
  <si>
    <t>600292392</t>
  </si>
  <si>
    <t>660621564</t>
  </si>
  <si>
    <t>606201366</t>
  </si>
  <si>
    <t>664192107</t>
  </si>
  <si>
    <t>784020169</t>
  </si>
  <si>
    <t>664192118</t>
  </si>
  <si>
    <t>662430040</t>
  </si>
  <si>
    <t>606632319</t>
  </si>
  <si>
    <t>660621567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</si>
</sst>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11"/>
      <color indexed="9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NumberFormat="1"/>
    <xf numFmtId="0" fontId="1" fillId="0" borderId="0" xfId="0" applyNumberFormat="1" applyFont="1"/>
    <xf numFmtId="14" fontId="1" fillId="0" borderId="0" xfId="0" applyNumberFormat="1" applyFont="1"/>
    <xf numFmtId="0" fontId="1" fillId="0" borderId="0" xfId="0" applyFont="1"/>
    <xf numFmtId="0" fontId="2" fillId="0" borderId="0" xfId="1"/>
    <xf numFmtId="14" fontId="0" fillId="0" borderId="0" xfId="0" applyNumberFormat="1"/>
    <xf numFmtId="0" fontId="0" fillId="0" borderId="0" xfId="0"/>
    <xf numFmtId="0" fontId="3" fillId="2" borderId="0" xfId="0" applyFont="1" applyFill="1"/>
    <xf numFmtId="49" fontId="3" fillId="2" borderId="0" xfId="0" applyNumberFormat="1" applyFont="1" applyFill="1"/>
    <xf numFmtId="49" fontId="0" fillId="0" borderId="0" xfId="0" applyNumberFormat="1"/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zuzanna.sielicka@mediacom.com" TargetMode="External"/><Relationship Id="rId2" Type="http://schemas.openxmlformats.org/officeDocument/2006/relationships/hyperlink" Target="mailto:karolina.rygalska@mediacom.com" TargetMode="External"/><Relationship Id="rId1" Type="http://schemas.openxmlformats.org/officeDocument/2006/relationships/hyperlink" Target="mailto:olga.dziewaltowska@mediacom.com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L164"/>
  <sheetViews>
    <sheetView tabSelected="1" workbookViewId="0">
      <selection activeCell="C9" sqref="C9"/>
    </sheetView>
  </sheetViews>
  <sheetFormatPr defaultRowHeight="15" x14ac:dyDescent="0.25"/>
  <cols>
    <col min="1" max="1" width="10.42578125" style="1" bestFit="1" customWidth="1"/>
    <col min="2" max="2" width="13.42578125" bestFit="1" customWidth="1"/>
    <col min="3" max="3" width="27.28515625" customWidth="1"/>
    <col min="4" max="4" width="15.5703125" customWidth="1"/>
    <col min="5" max="5" width="17.85546875" customWidth="1"/>
    <col min="6" max="6" width="42.5703125" bestFit="1" customWidth="1"/>
    <col min="7" max="7" width="13.85546875" customWidth="1"/>
    <col min="9" max="9" width="10.5703125" bestFit="1" customWidth="1"/>
    <col min="10" max="10" width="10" bestFit="1" customWidth="1"/>
    <col min="11" max="11" width="14.5703125" bestFit="1" customWidth="1"/>
    <col min="12" max="12" width="16" bestFit="1" customWidth="1"/>
  </cols>
  <sheetData>
    <row r="1" spans="1:12" x14ac:dyDescent="0.25">
      <c r="A1" s="2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384</v>
      </c>
      <c r="G1" s="4" t="s">
        <v>388</v>
      </c>
      <c r="H1" s="4" t="s">
        <v>389</v>
      </c>
      <c r="I1" s="4" t="s">
        <v>390</v>
      </c>
      <c r="J1" s="4" t="s">
        <v>391</v>
      </c>
      <c r="K1" s="4" t="s">
        <v>1040</v>
      </c>
      <c r="L1" s="4" t="s">
        <v>1041</v>
      </c>
    </row>
    <row r="2" spans="1:12" x14ac:dyDescent="0.25">
      <c r="A2" s="1">
        <v>936</v>
      </c>
      <c r="B2" t="s">
        <v>5</v>
      </c>
      <c r="C2" t="s">
        <v>6</v>
      </c>
      <c r="D2">
        <v>75122713167</v>
      </c>
      <c r="E2" t="s">
        <v>7</v>
      </c>
      <c r="F2" t="s">
        <v>228</v>
      </c>
      <c r="G2" s="6">
        <f>DATE("19"&amp;LEFT(D2,2),MID(D2,3,2),MID(D2,5,2))</f>
        <v>27755</v>
      </c>
      <c r="H2" t="str">
        <f>IF(ISEVEN(MID(D2,10,1)),"F","M")</f>
        <v>F</v>
      </c>
      <c r="I2" t="s">
        <v>392</v>
      </c>
      <c r="J2" t="str">
        <f ca="1">IF(ISERROR(L2),"",IF(L2=0,"",L2))</f>
        <v/>
      </c>
      <c r="K2" t="e">
        <f t="array" ref="K2">MATCH(ConvertPolish2Latin(B2&amp;C2),Arkusz2!$A$2:$A$282&amp;Arkusz2!$B$2:$B$282,0)</f>
        <v>#N/A</v>
      </c>
      <c r="L2" s="7" t="e">
        <f ca="1">IF(OR(ISERROR(OFFSET(Arkusz2!$A$1,K2,3)),OFFSET(Arkusz2!$A$1,K2,3)=0),"",OFFSET(Arkusz2!$A$1,K2,3))</f>
        <v>#N/A</v>
      </c>
    </row>
    <row r="3" spans="1:12" x14ac:dyDescent="0.25">
      <c r="A3" s="1">
        <v>704</v>
      </c>
      <c r="B3" t="s">
        <v>8</v>
      </c>
      <c r="C3" t="s">
        <v>9</v>
      </c>
      <c r="D3">
        <v>71101100702</v>
      </c>
      <c r="E3" t="s">
        <v>7</v>
      </c>
      <c r="F3" t="s">
        <v>229</v>
      </c>
      <c r="G3" s="6">
        <f t="shared" ref="G3:G66" si="0">DATE("19"&amp;LEFT(D3,2),MID(D3,3,2),MID(D3,5,2))</f>
        <v>26217</v>
      </c>
      <c r="H3" t="str">
        <f t="shared" ref="H3:H66" si="1">IF(ISEVEN(MID(D3,10,1)),"F","M")</f>
        <v>F</v>
      </c>
      <c r="I3" t="s">
        <v>392</v>
      </c>
      <c r="J3" s="7" t="str">
        <f t="shared" ref="J3:J66" ca="1" si="2">IF(ISERROR(L3),"",IF(L3=0,"",L3))</f>
        <v/>
      </c>
      <c r="K3" s="7" t="e">
        <f t="array" ref="K3">MATCH(ConvertPolish2Latin(B3&amp;C3),Arkusz2!$A$2:$A$282&amp;Arkusz2!$B$2:$B$282,0)</f>
        <v>#N/A</v>
      </c>
      <c r="L3" s="7" t="e">
        <f ca="1">IF(OR(ISERROR(OFFSET(Arkusz2!$A$1,K3,3)),OFFSET(Arkusz2!$A$1,K3,3)=0),"",OFFSET(Arkusz2!$A$1,K3,3))</f>
        <v>#N/A</v>
      </c>
    </row>
    <row r="4" spans="1:12" x14ac:dyDescent="0.25">
      <c r="A4" s="1">
        <v>938</v>
      </c>
      <c r="B4" t="s">
        <v>10</v>
      </c>
      <c r="C4" t="s">
        <v>9</v>
      </c>
      <c r="D4">
        <v>71101100702</v>
      </c>
      <c r="E4" t="s">
        <v>7</v>
      </c>
      <c r="F4" t="s">
        <v>229</v>
      </c>
      <c r="G4" s="6">
        <f t="shared" si="0"/>
        <v>26217</v>
      </c>
      <c r="H4" t="str">
        <f t="shared" si="1"/>
        <v>F</v>
      </c>
      <c r="I4" t="s">
        <v>392</v>
      </c>
      <c r="J4" s="7" t="str">
        <f t="shared" ca="1" si="2"/>
        <v/>
      </c>
      <c r="K4" s="7" t="e">
        <f t="array" ref="K4">MATCH(ConvertPolish2Latin(B4&amp;C4),Arkusz2!$A$2:$A$282&amp;Arkusz2!$B$2:$B$282,0)</f>
        <v>#N/A</v>
      </c>
      <c r="L4" s="7" t="e">
        <f ca="1">IF(OR(ISERROR(OFFSET(Arkusz2!$A$1,K4,3)),OFFSET(Arkusz2!$A$1,K4,3)=0),"",OFFSET(Arkusz2!$A$1,K4,3))</f>
        <v>#N/A</v>
      </c>
    </row>
    <row r="5" spans="1:12" x14ac:dyDescent="0.25">
      <c r="A5" s="1">
        <v>7</v>
      </c>
      <c r="B5" t="s">
        <v>11</v>
      </c>
      <c r="C5" t="s">
        <v>12</v>
      </c>
      <c r="D5">
        <v>82123000077</v>
      </c>
      <c r="E5" t="s">
        <v>7</v>
      </c>
      <c r="F5" t="s">
        <v>230</v>
      </c>
      <c r="G5" s="6">
        <f t="shared" si="0"/>
        <v>30315</v>
      </c>
      <c r="H5" t="str">
        <f t="shared" si="1"/>
        <v>M</v>
      </c>
      <c r="I5" t="s">
        <v>392</v>
      </c>
      <c r="J5" s="7" t="str">
        <f t="shared" ca="1" si="2"/>
        <v>692431224</v>
      </c>
      <c r="K5" s="7">
        <f t="array" ref="K5">MATCH(ConvertPolish2Latin(B5&amp;C5),Arkusz2!$A$2:$A$282&amp;Arkusz2!$B$2:$B$282,0)</f>
        <v>246</v>
      </c>
      <c r="L5" s="7" t="str">
        <f ca="1">IF(OR(ISERROR(OFFSET(Arkusz2!$A$1,K5,3)),OFFSET(Arkusz2!$A$1,K5,3)=0),"",OFFSET(Arkusz2!$A$1,K5,3))</f>
        <v>692431224</v>
      </c>
    </row>
    <row r="6" spans="1:12" x14ac:dyDescent="0.25">
      <c r="A6" s="1">
        <v>13</v>
      </c>
      <c r="B6" t="s">
        <v>13</v>
      </c>
      <c r="C6" t="s">
        <v>14</v>
      </c>
      <c r="D6">
        <v>83031021118</v>
      </c>
      <c r="E6" t="s">
        <v>7</v>
      </c>
      <c r="F6" t="s">
        <v>231</v>
      </c>
      <c r="G6" s="6">
        <f t="shared" si="0"/>
        <v>30385</v>
      </c>
      <c r="H6" t="str">
        <f t="shared" si="1"/>
        <v>M</v>
      </c>
      <c r="I6" t="s">
        <v>392</v>
      </c>
      <c r="J6" s="7" t="str">
        <f t="shared" ca="1" si="2"/>
        <v/>
      </c>
      <c r="K6" s="7" t="e">
        <f t="array" ref="K6">MATCH(ConvertPolish2Latin(B6&amp;C6),Arkusz2!$A$2:$A$282&amp;Arkusz2!$B$2:$B$282,0)</f>
        <v>#N/A</v>
      </c>
      <c r="L6" s="7" t="e">
        <f ca="1">IF(OR(ISERROR(OFFSET(Arkusz2!$A$1,K6,3)),OFFSET(Arkusz2!$A$1,K6,3)=0),"",OFFSET(Arkusz2!$A$1,K6,3))</f>
        <v>#N/A</v>
      </c>
    </row>
    <row r="7" spans="1:12" x14ac:dyDescent="0.25">
      <c r="A7" s="1">
        <v>17</v>
      </c>
      <c r="B7" t="s">
        <v>15</v>
      </c>
      <c r="C7" t="s">
        <v>16</v>
      </c>
      <c r="D7">
        <v>85050601395</v>
      </c>
      <c r="E7" t="s">
        <v>7</v>
      </c>
      <c r="F7" t="s">
        <v>232</v>
      </c>
      <c r="G7" s="6">
        <f t="shared" si="0"/>
        <v>31173</v>
      </c>
      <c r="H7" t="str">
        <f t="shared" si="1"/>
        <v>M</v>
      </c>
      <c r="I7" t="s">
        <v>392</v>
      </c>
      <c r="J7" s="7" t="str">
        <f t="shared" ca="1" si="2"/>
        <v>795135570</v>
      </c>
      <c r="K7" s="7">
        <f t="array" ref="K7">MATCH(ConvertPolish2Latin(B7&amp;C7),Arkusz2!$A$2:$A$282&amp;Arkusz2!$B$2:$B$282,0)</f>
        <v>146</v>
      </c>
      <c r="L7" s="7" t="str">
        <f ca="1">IF(OR(ISERROR(OFFSET(Arkusz2!$A$1,K7,3)),OFFSET(Arkusz2!$A$1,K7,3)=0),"",OFFSET(Arkusz2!$A$1,K7,3))</f>
        <v>795135570</v>
      </c>
    </row>
    <row r="8" spans="1:12" x14ac:dyDescent="0.25">
      <c r="A8" s="1">
        <v>21</v>
      </c>
      <c r="B8" t="s">
        <v>17</v>
      </c>
      <c r="C8" t="s">
        <v>18</v>
      </c>
      <c r="D8">
        <v>80022004709</v>
      </c>
      <c r="E8" t="s">
        <v>7</v>
      </c>
      <c r="F8" t="s">
        <v>233</v>
      </c>
      <c r="G8" s="6">
        <f t="shared" si="0"/>
        <v>29271</v>
      </c>
      <c r="H8" t="str">
        <f t="shared" si="1"/>
        <v>F</v>
      </c>
      <c r="I8" t="s">
        <v>392</v>
      </c>
      <c r="J8" s="7" t="str">
        <f t="shared" ca="1" si="2"/>
        <v/>
      </c>
      <c r="K8" s="7">
        <f t="array" ref="K8">MATCH(ConvertPolish2Latin(B8&amp;C8),Arkusz2!$A$2:$A$282&amp;Arkusz2!$B$2:$B$282,0)</f>
        <v>260</v>
      </c>
      <c r="L8" s="7" t="str">
        <f ca="1">IF(OR(ISERROR(OFFSET(Arkusz2!$A$1,K8,3)),OFFSET(Arkusz2!$A$1,K8,3)=0),"",OFFSET(Arkusz2!$A$1,K8,3))</f>
        <v/>
      </c>
    </row>
    <row r="9" spans="1:12" x14ac:dyDescent="0.25">
      <c r="A9" s="1">
        <v>28</v>
      </c>
      <c r="B9" t="s">
        <v>19</v>
      </c>
      <c r="C9" t="s">
        <v>20</v>
      </c>
      <c r="D9">
        <v>81031200296</v>
      </c>
      <c r="E9" t="s">
        <v>7</v>
      </c>
      <c r="F9" t="s">
        <v>234</v>
      </c>
      <c r="G9" s="6">
        <f t="shared" si="0"/>
        <v>29657</v>
      </c>
      <c r="H9" t="str">
        <f t="shared" si="1"/>
        <v>M</v>
      </c>
      <c r="I9" t="s">
        <v>392</v>
      </c>
      <c r="J9" s="7" t="str">
        <f t="shared" ca="1" si="2"/>
        <v>664192114</v>
      </c>
      <c r="K9" s="7">
        <f t="array" ref="K9">MATCH(ConvertPolish2Latin(B9&amp;C9),Arkusz2!$A$2:$A$282&amp;Arkusz2!$B$2:$B$282,0)</f>
        <v>170</v>
      </c>
      <c r="L9" s="7" t="str">
        <f ca="1">IF(OR(ISERROR(OFFSET(Arkusz2!$A$1,K9,3)),OFFSET(Arkusz2!$A$1,K9,3)=0),"",OFFSET(Arkusz2!$A$1,K9,3))</f>
        <v>664192114</v>
      </c>
    </row>
    <row r="10" spans="1:12" x14ac:dyDescent="0.25">
      <c r="A10" s="1">
        <v>29</v>
      </c>
      <c r="B10" t="s">
        <v>21</v>
      </c>
      <c r="C10" t="s">
        <v>22</v>
      </c>
      <c r="D10">
        <v>75022107637</v>
      </c>
      <c r="E10" t="s">
        <v>7</v>
      </c>
      <c r="F10" t="s">
        <v>235</v>
      </c>
      <c r="G10" s="6">
        <f t="shared" si="0"/>
        <v>27446</v>
      </c>
      <c r="H10" t="str">
        <f t="shared" si="1"/>
        <v>M</v>
      </c>
      <c r="I10" t="s">
        <v>392</v>
      </c>
      <c r="J10" s="7" t="str">
        <f t="shared" ca="1" si="2"/>
        <v>602633106</v>
      </c>
      <c r="K10" s="7">
        <f t="array" ref="K10">MATCH(ConvertPolish2Latin(B10&amp;C10),Arkusz2!$A$2:$A$282&amp;Arkusz2!$B$2:$B$282,0)</f>
        <v>149</v>
      </c>
      <c r="L10" s="7" t="str">
        <f ca="1">IF(OR(ISERROR(OFFSET(Arkusz2!$A$1,K10,3)),OFFSET(Arkusz2!$A$1,K10,3)=0),"",OFFSET(Arkusz2!$A$1,K10,3))</f>
        <v>602633106</v>
      </c>
    </row>
    <row r="11" spans="1:12" x14ac:dyDescent="0.25">
      <c r="A11" s="1">
        <v>34</v>
      </c>
      <c r="B11" t="s">
        <v>23</v>
      </c>
      <c r="C11" t="s">
        <v>24</v>
      </c>
      <c r="D11">
        <v>76110500967</v>
      </c>
      <c r="E11" t="s">
        <v>7</v>
      </c>
      <c r="F11" t="s">
        <v>236</v>
      </c>
      <c r="G11" s="6">
        <f t="shared" si="0"/>
        <v>28069</v>
      </c>
      <c r="H11" t="str">
        <f t="shared" si="1"/>
        <v>F</v>
      </c>
      <c r="I11" t="s">
        <v>392</v>
      </c>
      <c r="J11" s="7" t="str">
        <f t="shared" ca="1" si="2"/>
        <v>606444823</v>
      </c>
      <c r="K11" s="7">
        <f t="array" ref="K11">MATCH(ConvertPolish2Latin(B11&amp;C11),Arkusz2!$A$2:$A$282&amp;Arkusz2!$B$2:$B$282,0)</f>
        <v>257</v>
      </c>
      <c r="L11" s="7" t="str">
        <f ca="1">IF(OR(ISERROR(OFFSET(Arkusz2!$A$1,K11,3)),OFFSET(Arkusz2!$A$1,K11,3)=0),"",OFFSET(Arkusz2!$A$1,K11,3))</f>
        <v>606444823</v>
      </c>
    </row>
    <row r="12" spans="1:12" x14ac:dyDescent="0.25">
      <c r="A12" s="1">
        <v>36</v>
      </c>
      <c r="B12" t="s">
        <v>25</v>
      </c>
      <c r="C12" t="s">
        <v>26</v>
      </c>
      <c r="D12">
        <v>74083100362</v>
      </c>
      <c r="E12" t="s">
        <v>7</v>
      </c>
      <c r="F12" s="5" t="s">
        <v>385</v>
      </c>
      <c r="G12" s="6">
        <f t="shared" si="0"/>
        <v>27272</v>
      </c>
      <c r="H12" t="str">
        <f t="shared" si="1"/>
        <v>F</v>
      </c>
      <c r="I12" t="s">
        <v>392</v>
      </c>
      <c r="J12" s="7" t="str">
        <f t="shared" ca="1" si="2"/>
        <v/>
      </c>
      <c r="K12" s="7" t="e">
        <f t="array" ref="K12">MATCH(ConvertPolish2Latin(B12&amp;C12),Arkusz2!$A$2:$A$282&amp;Arkusz2!$B$2:$B$282,0)</f>
        <v>#N/A</v>
      </c>
      <c r="L12" s="7" t="e">
        <f ca="1">IF(OR(ISERROR(OFFSET(Arkusz2!$A$1,K12,3)),OFFSET(Arkusz2!$A$1,K12,3)=0),"",OFFSET(Arkusz2!$A$1,K12,3))</f>
        <v>#N/A</v>
      </c>
    </row>
    <row r="13" spans="1:12" x14ac:dyDescent="0.25">
      <c r="A13" s="1">
        <v>38</v>
      </c>
      <c r="B13" t="s">
        <v>27</v>
      </c>
      <c r="C13" t="s">
        <v>28</v>
      </c>
      <c r="D13">
        <v>83102600204</v>
      </c>
      <c r="E13" t="s">
        <v>7</v>
      </c>
      <c r="F13" t="s">
        <v>237</v>
      </c>
      <c r="G13" s="6">
        <f t="shared" si="0"/>
        <v>30615</v>
      </c>
      <c r="H13" t="str">
        <f t="shared" si="1"/>
        <v>F</v>
      </c>
      <c r="I13" t="s">
        <v>392</v>
      </c>
      <c r="J13" s="7" t="str">
        <f t="shared" ca="1" si="2"/>
        <v>692431235</v>
      </c>
      <c r="K13" s="7">
        <f t="array" ref="K13">MATCH(ConvertPolish2Latin(B13&amp;C13),Arkusz2!$A$2:$A$282&amp;Arkusz2!$B$2:$B$282,0)</f>
        <v>203</v>
      </c>
      <c r="L13" s="7" t="str">
        <f ca="1">IF(OR(ISERROR(OFFSET(Arkusz2!$A$1,K13,3)),OFFSET(Arkusz2!$A$1,K13,3)=0),"",OFFSET(Arkusz2!$A$1,K13,3))</f>
        <v>692431235</v>
      </c>
    </row>
    <row r="14" spans="1:12" x14ac:dyDescent="0.25">
      <c r="A14" s="1">
        <v>46</v>
      </c>
      <c r="B14" t="s">
        <v>29</v>
      </c>
      <c r="C14" t="s">
        <v>30</v>
      </c>
      <c r="D14">
        <v>72102511434</v>
      </c>
      <c r="E14" t="s">
        <v>7</v>
      </c>
      <c r="F14" t="s">
        <v>238</v>
      </c>
      <c r="G14" s="6">
        <f t="shared" si="0"/>
        <v>26597</v>
      </c>
      <c r="H14" t="str">
        <f t="shared" si="1"/>
        <v>M</v>
      </c>
      <c r="I14" t="s">
        <v>392</v>
      </c>
      <c r="J14" s="7" t="str">
        <f t="shared" ca="1" si="2"/>
        <v>606444822</v>
      </c>
      <c r="K14" s="7">
        <f t="array" ref="K14">MATCH(ConvertPolish2Latin(B14&amp;C14),Arkusz2!$A$2:$A$282&amp;Arkusz2!$B$2:$B$282,0)</f>
        <v>233</v>
      </c>
      <c r="L14" s="7" t="str">
        <f ca="1">IF(OR(ISERROR(OFFSET(Arkusz2!$A$1,K14,3)),OFFSET(Arkusz2!$A$1,K14,3)=0),"",OFFSET(Arkusz2!$A$1,K14,3))</f>
        <v>606444822</v>
      </c>
    </row>
    <row r="15" spans="1:12" x14ac:dyDescent="0.25">
      <c r="A15" s="1">
        <v>45</v>
      </c>
      <c r="B15" t="s">
        <v>10</v>
      </c>
      <c r="C15" t="s">
        <v>30</v>
      </c>
      <c r="D15">
        <v>73033014261</v>
      </c>
      <c r="E15" t="s">
        <v>7</v>
      </c>
      <c r="F15" t="s">
        <v>239</v>
      </c>
      <c r="G15" s="6">
        <f t="shared" si="0"/>
        <v>26753</v>
      </c>
      <c r="H15" t="str">
        <f t="shared" si="1"/>
        <v>F</v>
      </c>
      <c r="I15" t="s">
        <v>392</v>
      </c>
      <c r="J15" s="7" t="str">
        <f t="shared" ca="1" si="2"/>
        <v>664192113</v>
      </c>
      <c r="K15" s="7">
        <f t="array" ref="K15">MATCH(ConvertPolish2Latin(B15&amp;C15),Arkusz2!$A$2:$A$282&amp;Arkusz2!$B$2:$B$282,0)</f>
        <v>206</v>
      </c>
      <c r="L15" s="7" t="str">
        <f ca="1">IF(OR(ISERROR(OFFSET(Arkusz2!$A$1,K15,3)),OFFSET(Arkusz2!$A$1,K15,3)=0),"",OFFSET(Arkusz2!$A$1,K15,3))</f>
        <v>664192113</v>
      </c>
    </row>
    <row r="16" spans="1:12" x14ac:dyDescent="0.25">
      <c r="A16" s="1">
        <v>54</v>
      </c>
      <c r="B16" t="s">
        <v>31</v>
      </c>
      <c r="C16" t="s">
        <v>32</v>
      </c>
      <c r="D16">
        <v>79081800733</v>
      </c>
      <c r="E16" t="s">
        <v>7</v>
      </c>
      <c r="F16" t="s">
        <v>240</v>
      </c>
      <c r="G16" s="6">
        <f t="shared" si="0"/>
        <v>29085</v>
      </c>
      <c r="H16" t="str">
        <f t="shared" si="1"/>
        <v>M</v>
      </c>
      <c r="I16" t="s">
        <v>392</v>
      </c>
      <c r="J16" s="7" t="str">
        <f t="shared" ca="1" si="2"/>
        <v>600071410</v>
      </c>
      <c r="K16" s="7">
        <f t="array" ref="K16">MATCH(ConvertPolish2Latin(B16&amp;C16),Arkusz2!$A$2:$A$282&amp;Arkusz2!$B$2:$B$282,0)</f>
        <v>16</v>
      </c>
      <c r="L16" s="7" t="str">
        <f ca="1">IF(OR(ISERROR(OFFSET(Arkusz2!$A$1,K16,3)),OFFSET(Arkusz2!$A$1,K16,3)=0),"",OFFSET(Arkusz2!$A$1,K16,3))</f>
        <v>600071410</v>
      </c>
    </row>
    <row r="17" spans="1:12" x14ac:dyDescent="0.25">
      <c r="A17" s="1">
        <v>57</v>
      </c>
      <c r="B17" t="s">
        <v>33</v>
      </c>
      <c r="C17" t="s">
        <v>34</v>
      </c>
      <c r="D17">
        <v>78080804861</v>
      </c>
      <c r="E17" t="s">
        <v>7</v>
      </c>
      <c r="F17" t="s">
        <v>241</v>
      </c>
      <c r="G17" s="6">
        <f t="shared" si="0"/>
        <v>28710</v>
      </c>
      <c r="H17" t="str">
        <f t="shared" si="1"/>
        <v>F</v>
      </c>
      <c r="I17" t="s">
        <v>392</v>
      </c>
      <c r="J17" s="7" t="str">
        <f t="shared" ca="1" si="2"/>
        <v>664192139</v>
      </c>
      <c r="K17" s="7">
        <f t="array" ref="K17">MATCH(ConvertPolish2Latin(B17&amp;C17),Arkusz2!$A$2:$A$282&amp;Arkusz2!$B$2:$B$282,0)</f>
        <v>23</v>
      </c>
      <c r="L17" s="7" t="str">
        <f ca="1">IF(OR(ISERROR(OFFSET(Arkusz2!$A$1,K17,3)),OFFSET(Arkusz2!$A$1,K17,3)=0),"",OFFSET(Arkusz2!$A$1,K17,3))</f>
        <v>664192139</v>
      </c>
    </row>
    <row r="18" spans="1:12" x14ac:dyDescent="0.25">
      <c r="A18" s="1">
        <v>58</v>
      </c>
      <c r="B18" t="s">
        <v>21</v>
      </c>
      <c r="C18" t="s">
        <v>35</v>
      </c>
      <c r="D18">
        <v>80041902437</v>
      </c>
      <c r="E18" t="s">
        <v>7</v>
      </c>
      <c r="F18" t="s">
        <v>242</v>
      </c>
      <c r="G18" s="6">
        <f t="shared" si="0"/>
        <v>29330</v>
      </c>
      <c r="H18" t="str">
        <f t="shared" si="1"/>
        <v>M</v>
      </c>
      <c r="I18" t="s">
        <v>392</v>
      </c>
      <c r="J18" s="7" t="str">
        <f t="shared" ca="1" si="2"/>
        <v>664192143</v>
      </c>
      <c r="K18" s="7">
        <f t="array" ref="K18">MATCH(ConvertPolish2Latin(B18&amp;C18),Arkusz2!$A$2:$A$282&amp;Arkusz2!$B$2:$B$282,0)</f>
        <v>10</v>
      </c>
      <c r="L18" s="7" t="str">
        <f ca="1">IF(OR(ISERROR(OFFSET(Arkusz2!$A$1,K18,3)),OFFSET(Arkusz2!$A$1,K18,3)=0),"",OFFSET(Arkusz2!$A$1,K18,3))</f>
        <v>664192143</v>
      </c>
    </row>
    <row r="19" spans="1:12" x14ac:dyDescent="0.25">
      <c r="A19" s="1">
        <v>61</v>
      </c>
      <c r="B19" t="s">
        <v>23</v>
      </c>
      <c r="C19" t="s">
        <v>36</v>
      </c>
      <c r="D19">
        <v>72111603609</v>
      </c>
      <c r="E19" t="s">
        <v>7</v>
      </c>
      <c r="F19" t="s">
        <v>243</v>
      </c>
      <c r="G19" s="6">
        <f t="shared" si="0"/>
        <v>26619</v>
      </c>
      <c r="H19" t="str">
        <f t="shared" si="1"/>
        <v>F</v>
      </c>
      <c r="I19" t="s">
        <v>392</v>
      </c>
      <c r="J19" s="7" t="str">
        <f t="shared" ca="1" si="2"/>
        <v/>
      </c>
      <c r="K19" s="7">
        <f t="array" ref="K19">MATCH(ConvertPolish2Latin(B19&amp;C19),Arkusz2!$A$2:$A$282&amp;Arkusz2!$B$2:$B$282,0)</f>
        <v>277</v>
      </c>
      <c r="L19" s="7" t="str">
        <f ca="1">IF(OR(ISERROR(OFFSET(Arkusz2!$A$1,K19,3)),OFFSET(Arkusz2!$A$1,K19,3)=0),"",OFFSET(Arkusz2!$A$1,K19,3))</f>
        <v/>
      </c>
    </row>
    <row r="20" spans="1:12" x14ac:dyDescent="0.25">
      <c r="A20" s="1">
        <v>62</v>
      </c>
      <c r="B20" t="s">
        <v>37</v>
      </c>
      <c r="C20" t="s">
        <v>38</v>
      </c>
      <c r="D20">
        <v>72112500202</v>
      </c>
      <c r="E20" t="s">
        <v>7</v>
      </c>
      <c r="F20" t="s">
        <v>244</v>
      </c>
      <c r="G20" s="6">
        <f t="shared" si="0"/>
        <v>26628</v>
      </c>
      <c r="H20" t="str">
        <f t="shared" si="1"/>
        <v>F</v>
      </c>
      <c r="I20" t="s">
        <v>392</v>
      </c>
      <c r="J20" s="7" t="str">
        <f t="shared" ca="1" si="2"/>
        <v>664192130</v>
      </c>
      <c r="K20" s="7">
        <f t="array" ref="K20">MATCH(ConvertPolish2Latin(B20&amp;C20),Arkusz2!$A$2:$A$282&amp;Arkusz2!$B$2:$B$282,0)</f>
        <v>224</v>
      </c>
      <c r="L20" s="7" t="str">
        <f ca="1">IF(OR(ISERROR(OFFSET(Arkusz2!$A$1,K20,3)),OFFSET(Arkusz2!$A$1,K20,3)=0),"",OFFSET(Arkusz2!$A$1,K20,3))</f>
        <v>664192130</v>
      </c>
    </row>
    <row r="21" spans="1:12" x14ac:dyDescent="0.25">
      <c r="A21" s="1">
        <v>72</v>
      </c>
      <c r="B21" t="s">
        <v>39</v>
      </c>
      <c r="C21" t="s">
        <v>40</v>
      </c>
      <c r="D21">
        <v>74051200863</v>
      </c>
      <c r="E21" t="s">
        <v>7</v>
      </c>
      <c r="F21" t="s">
        <v>245</v>
      </c>
      <c r="G21" s="6">
        <f t="shared" si="0"/>
        <v>27161</v>
      </c>
      <c r="H21" t="str">
        <f t="shared" si="1"/>
        <v>F</v>
      </c>
      <c r="I21" t="s">
        <v>392</v>
      </c>
      <c r="J21" s="7" t="str">
        <f t="shared" ca="1" si="2"/>
        <v>692445706</v>
      </c>
      <c r="K21" s="7">
        <f t="array" ref="K21">MATCH(ConvertPolish2Latin(B21&amp;C21),Arkusz2!$A$2:$A$282&amp;Arkusz2!$B$2:$B$282,0)</f>
        <v>124</v>
      </c>
      <c r="L21" s="7" t="str">
        <f ca="1">IF(OR(ISERROR(OFFSET(Arkusz2!$A$1,K21,3)),OFFSET(Arkusz2!$A$1,K21,3)=0),"",OFFSET(Arkusz2!$A$1,K21,3))</f>
        <v>692445706</v>
      </c>
    </row>
    <row r="22" spans="1:12" x14ac:dyDescent="0.25">
      <c r="A22" s="1">
        <v>83</v>
      </c>
      <c r="B22" t="s">
        <v>31</v>
      </c>
      <c r="C22" t="s">
        <v>41</v>
      </c>
      <c r="D22">
        <v>82020904555</v>
      </c>
      <c r="E22" t="s">
        <v>7</v>
      </c>
      <c r="F22" t="s">
        <v>246</v>
      </c>
      <c r="G22" s="6">
        <f t="shared" si="0"/>
        <v>29991</v>
      </c>
      <c r="H22" t="str">
        <f t="shared" si="1"/>
        <v>M</v>
      </c>
      <c r="I22" t="s">
        <v>392</v>
      </c>
      <c r="J22" s="7" t="str">
        <f t="shared" ca="1" si="2"/>
        <v>664192125</v>
      </c>
      <c r="K22" s="7">
        <f t="array" ref="K22">MATCH(ConvertPolish2Latin(B22&amp;C22),Arkusz2!$A$2:$A$282&amp;Arkusz2!$B$2:$B$282,0)</f>
        <v>173</v>
      </c>
      <c r="L22" s="7" t="str">
        <f ca="1">IF(OR(ISERROR(OFFSET(Arkusz2!$A$1,K22,3)),OFFSET(Arkusz2!$A$1,K22,3)=0),"",OFFSET(Arkusz2!$A$1,K22,3))</f>
        <v>664192125</v>
      </c>
    </row>
    <row r="23" spans="1:12" x14ac:dyDescent="0.25">
      <c r="A23" s="1">
        <v>112</v>
      </c>
      <c r="B23" t="s">
        <v>23</v>
      </c>
      <c r="C23" t="s">
        <v>42</v>
      </c>
      <c r="D23">
        <v>75050800863</v>
      </c>
      <c r="E23" t="s">
        <v>7</v>
      </c>
      <c r="F23" t="s">
        <v>247</v>
      </c>
      <c r="G23" s="6">
        <f t="shared" si="0"/>
        <v>27522</v>
      </c>
      <c r="H23" t="str">
        <f t="shared" si="1"/>
        <v>F</v>
      </c>
      <c r="I23" t="s">
        <v>392</v>
      </c>
      <c r="J23" s="7" t="str">
        <f t="shared" ca="1" si="2"/>
        <v/>
      </c>
      <c r="K23" s="7" t="e">
        <f t="array" ref="K23">MATCH(ConvertPolish2Latin(B23&amp;C23),Arkusz2!$A$2:$A$282&amp;Arkusz2!$B$2:$B$282,0)</f>
        <v>#N/A</v>
      </c>
      <c r="L23" s="7" t="e">
        <f ca="1">IF(OR(ISERROR(OFFSET(Arkusz2!$A$1,K23,3)),OFFSET(Arkusz2!$A$1,K23,3)=0),"",OFFSET(Arkusz2!$A$1,K23,3))</f>
        <v>#N/A</v>
      </c>
    </row>
    <row r="24" spans="1:12" x14ac:dyDescent="0.25">
      <c r="A24" s="1">
        <v>162</v>
      </c>
      <c r="B24" t="s">
        <v>23</v>
      </c>
      <c r="C24" t="s">
        <v>43</v>
      </c>
      <c r="D24">
        <v>85071701744</v>
      </c>
      <c r="E24" t="s">
        <v>7</v>
      </c>
      <c r="F24" t="s">
        <v>248</v>
      </c>
      <c r="G24" s="6">
        <f t="shared" si="0"/>
        <v>31245</v>
      </c>
      <c r="H24" t="str">
        <f t="shared" si="1"/>
        <v>F</v>
      </c>
      <c r="I24" t="s">
        <v>392</v>
      </c>
      <c r="J24" s="7" t="str">
        <f t="shared" ca="1" si="2"/>
        <v>795568941</v>
      </c>
      <c r="K24" s="7">
        <f t="array" ref="K24">MATCH(ConvertPolish2Latin(B24&amp;C24),Arkusz2!$A$2:$A$282&amp;Arkusz2!$B$2:$B$282,0)</f>
        <v>33</v>
      </c>
      <c r="L24" s="7" t="str">
        <f ca="1">IF(OR(ISERROR(OFFSET(Arkusz2!$A$1,K24,3)),OFFSET(Arkusz2!$A$1,K24,3)=0),"",OFFSET(Arkusz2!$A$1,K24,3))</f>
        <v>795568941</v>
      </c>
    </row>
    <row r="25" spans="1:12" x14ac:dyDescent="0.25">
      <c r="A25" s="1">
        <v>85</v>
      </c>
      <c r="B25" t="s">
        <v>21</v>
      </c>
      <c r="C25" t="s">
        <v>44</v>
      </c>
      <c r="D25">
        <v>72070802415</v>
      </c>
      <c r="E25" t="s">
        <v>7</v>
      </c>
      <c r="F25" t="s">
        <v>249</v>
      </c>
      <c r="G25" s="6">
        <f t="shared" si="0"/>
        <v>26488</v>
      </c>
      <c r="H25" t="str">
        <f t="shared" si="1"/>
        <v>M</v>
      </c>
      <c r="I25" t="s">
        <v>392</v>
      </c>
      <c r="J25" s="7" t="str">
        <f t="shared" ca="1" si="2"/>
        <v>604266907</v>
      </c>
      <c r="K25" s="7">
        <f t="array" ref="K25">MATCH(ConvertPolish2Latin(B25&amp;C25),Arkusz2!$A$2:$A$282&amp;Arkusz2!$B$2:$B$282,0)</f>
        <v>244</v>
      </c>
      <c r="L25" s="7" t="str">
        <f ca="1">IF(OR(ISERROR(OFFSET(Arkusz2!$A$1,K25,3)),OFFSET(Arkusz2!$A$1,K25,3)=0),"",OFFSET(Arkusz2!$A$1,K25,3))</f>
        <v>604266907</v>
      </c>
    </row>
    <row r="26" spans="1:12" x14ac:dyDescent="0.25">
      <c r="A26" s="1">
        <v>93</v>
      </c>
      <c r="B26" t="s">
        <v>45</v>
      </c>
      <c r="C26" t="s">
        <v>46</v>
      </c>
      <c r="D26">
        <v>76072500586</v>
      </c>
      <c r="E26" t="s">
        <v>7</v>
      </c>
      <c r="F26" t="s">
        <v>250</v>
      </c>
      <c r="G26" s="6">
        <f t="shared" si="0"/>
        <v>27966</v>
      </c>
      <c r="H26" t="str">
        <f t="shared" si="1"/>
        <v>F</v>
      </c>
      <c r="I26" t="s">
        <v>392</v>
      </c>
      <c r="J26" s="7" t="str">
        <f t="shared" ca="1" si="2"/>
        <v>692447352</v>
      </c>
      <c r="K26" s="7">
        <f t="array" ref="K26">MATCH(ConvertPolish2Latin(B26&amp;C26),Arkusz2!$A$2:$A$282&amp;Arkusz2!$B$2:$B$282,0)</f>
        <v>115</v>
      </c>
      <c r="L26" s="7" t="str">
        <f ca="1">IF(OR(ISERROR(OFFSET(Arkusz2!$A$1,K26,3)),OFFSET(Arkusz2!$A$1,K26,3)=0),"",OFFSET(Arkusz2!$A$1,K26,3))</f>
        <v>692447352</v>
      </c>
    </row>
    <row r="27" spans="1:12" x14ac:dyDescent="0.25">
      <c r="A27" s="1">
        <v>96</v>
      </c>
      <c r="B27" t="s">
        <v>47</v>
      </c>
      <c r="C27" t="s">
        <v>48</v>
      </c>
      <c r="D27">
        <v>82010100530</v>
      </c>
      <c r="E27" t="s">
        <v>7</v>
      </c>
      <c r="F27" t="s">
        <v>251</v>
      </c>
      <c r="G27" s="6">
        <f t="shared" si="0"/>
        <v>29952</v>
      </c>
      <c r="H27" t="str">
        <f t="shared" si="1"/>
        <v>M</v>
      </c>
      <c r="I27" t="s">
        <v>392</v>
      </c>
      <c r="J27" s="7" t="str">
        <f t="shared" ca="1" si="2"/>
        <v>696419660</v>
      </c>
      <c r="K27" s="7">
        <f t="array" ref="K27">MATCH(ConvertPolish2Latin(B27&amp;C27),Arkusz2!$A$2:$A$282&amp;Arkusz2!$B$2:$B$282,0)</f>
        <v>204</v>
      </c>
      <c r="L27" s="7" t="str">
        <f ca="1">IF(OR(ISERROR(OFFSET(Arkusz2!$A$1,K27,3)),OFFSET(Arkusz2!$A$1,K27,3)=0),"",OFFSET(Arkusz2!$A$1,K27,3))</f>
        <v>696419660</v>
      </c>
    </row>
    <row r="28" spans="1:12" x14ac:dyDescent="0.25">
      <c r="A28" s="1">
        <v>99</v>
      </c>
      <c r="B28" t="s">
        <v>49</v>
      </c>
      <c r="C28" t="s">
        <v>50</v>
      </c>
      <c r="D28">
        <v>77041106701</v>
      </c>
      <c r="E28" t="s">
        <v>7</v>
      </c>
      <c r="F28" t="s">
        <v>252</v>
      </c>
      <c r="G28" s="6">
        <f t="shared" si="0"/>
        <v>28226</v>
      </c>
      <c r="H28" t="str">
        <f t="shared" si="1"/>
        <v>F</v>
      </c>
      <c r="I28" t="s">
        <v>392</v>
      </c>
      <c r="J28" s="7" t="str">
        <f t="shared" ca="1" si="2"/>
        <v>602510357</v>
      </c>
      <c r="K28" s="7">
        <f t="array" ref="K28">MATCH(ConvertPolish2Latin(B28&amp;C28),Arkusz2!$A$2:$A$282&amp;Arkusz2!$B$2:$B$282,0)</f>
        <v>167</v>
      </c>
      <c r="L28" s="7" t="str">
        <f ca="1">IF(OR(ISERROR(OFFSET(Arkusz2!$A$1,K28,3)),OFFSET(Arkusz2!$A$1,K28,3)=0),"",OFFSET(Arkusz2!$A$1,K28,3))</f>
        <v>602510357</v>
      </c>
    </row>
    <row r="29" spans="1:12" x14ac:dyDescent="0.25">
      <c r="A29" s="1">
        <v>110</v>
      </c>
      <c r="B29" t="s">
        <v>51</v>
      </c>
      <c r="C29" t="s">
        <v>52</v>
      </c>
      <c r="D29">
        <v>83111013736</v>
      </c>
      <c r="E29" t="s">
        <v>7</v>
      </c>
      <c r="F29" t="s">
        <v>253</v>
      </c>
      <c r="G29" s="6">
        <f t="shared" si="0"/>
        <v>30630</v>
      </c>
      <c r="H29" t="str">
        <f t="shared" si="1"/>
        <v>M</v>
      </c>
      <c r="I29" t="s">
        <v>392</v>
      </c>
      <c r="J29" s="7" t="str">
        <f t="shared" ca="1" si="2"/>
        <v>664192112</v>
      </c>
      <c r="K29" s="7">
        <f t="array" ref="K29">MATCH(ConvertPolish2Latin(B29&amp;C29),Arkusz2!$A$2:$A$282&amp;Arkusz2!$B$2:$B$282,0)</f>
        <v>67</v>
      </c>
      <c r="L29" s="7" t="str">
        <f ca="1">IF(OR(ISERROR(OFFSET(Arkusz2!$A$1,K29,3)),OFFSET(Arkusz2!$A$1,K29,3)=0),"",OFFSET(Arkusz2!$A$1,K29,3))</f>
        <v>664192112</v>
      </c>
    </row>
    <row r="30" spans="1:12" x14ac:dyDescent="0.25">
      <c r="A30" s="1">
        <v>65</v>
      </c>
      <c r="B30" t="s">
        <v>53</v>
      </c>
      <c r="C30" t="s">
        <v>54</v>
      </c>
      <c r="D30">
        <v>86020300762</v>
      </c>
      <c r="E30" t="s">
        <v>7</v>
      </c>
      <c r="F30" t="s">
        <v>254</v>
      </c>
      <c r="G30" s="6">
        <f t="shared" si="0"/>
        <v>31446</v>
      </c>
      <c r="H30" t="str">
        <f t="shared" si="1"/>
        <v>F</v>
      </c>
      <c r="I30" t="s">
        <v>392</v>
      </c>
      <c r="J30" s="7" t="str">
        <f t="shared" ca="1" si="2"/>
        <v>692418356</v>
      </c>
      <c r="K30" s="7">
        <f t="array" ref="K30">MATCH(ConvertPolish2Latin(B30&amp;C30),Arkusz2!$A$2:$A$282&amp;Arkusz2!$B$2:$B$282,0)</f>
        <v>38</v>
      </c>
      <c r="L30" s="7" t="str">
        <f ca="1">IF(OR(ISERROR(OFFSET(Arkusz2!$A$1,K30,3)),OFFSET(Arkusz2!$A$1,K30,3)=0),"",OFFSET(Arkusz2!$A$1,K30,3))</f>
        <v>692418356</v>
      </c>
    </row>
    <row r="31" spans="1:12" x14ac:dyDescent="0.25">
      <c r="A31" s="1">
        <v>122</v>
      </c>
      <c r="B31" t="s">
        <v>55</v>
      </c>
      <c r="C31" t="s">
        <v>56</v>
      </c>
      <c r="D31">
        <v>75011201430</v>
      </c>
      <c r="E31" t="s">
        <v>7</v>
      </c>
      <c r="F31" t="s">
        <v>255</v>
      </c>
      <c r="G31" s="6">
        <f t="shared" si="0"/>
        <v>27406</v>
      </c>
      <c r="H31" t="str">
        <f t="shared" si="1"/>
        <v>M</v>
      </c>
      <c r="I31" t="s">
        <v>392</v>
      </c>
      <c r="J31" s="7" t="str">
        <f t="shared" ca="1" si="2"/>
        <v>692245683</v>
      </c>
      <c r="K31" s="7">
        <f t="array" ref="K31">MATCH(ConvertPolish2Latin(B31&amp;C31),Arkusz2!$A$2:$A$282&amp;Arkusz2!$B$2:$B$282,0)</f>
        <v>229</v>
      </c>
      <c r="L31" s="7" t="str">
        <f ca="1">IF(OR(ISERROR(OFFSET(Arkusz2!$A$1,K31,3)),OFFSET(Arkusz2!$A$1,K31,3)=0),"",OFFSET(Arkusz2!$A$1,K31,3))</f>
        <v>692245683</v>
      </c>
    </row>
    <row r="32" spans="1:12" x14ac:dyDescent="0.25">
      <c r="A32" s="1">
        <v>138</v>
      </c>
      <c r="B32" t="s">
        <v>57</v>
      </c>
      <c r="C32" t="s">
        <v>58</v>
      </c>
      <c r="D32">
        <v>85091400249</v>
      </c>
      <c r="E32" t="s">
        <v>7</v>
      </c>
      <c r="F32" t="s">
        <v>256</v>
      </c>
      <c r="G32" s="6">
        <f t="shared" si="0"/>
        <v>31304</v>
      </c>
      <c r="H32" t="str">
        <f t="shared" si="1"/>
        <v>F</v>
      </c>
      <c r="I32" t="s">
        <v>392</v>
      </c>
      <c r="J32" s="7" t="str">
        <f t="shared" ca="1" si="2"/>
        <v>692445707</v>
      </c>
      <c r="K32" s="7">
        <f t="array" ref="K32">MATCH(ConvertPolish2Latin(B32&amp;C32),Arkusz2!$A$2:$A$282&amp;Arkusz2!$B$2:$B$282,0)</f>
        <v>37</v>
      </c>
      <c r="L32" s="7" t="str">
        <f ca="1">IF(OR(ISERROR(OFFSET(Arkusz2!$A$1,K32,3)),OFFSET(Arkusz2!$A$1,K32,3)=0),"",OFFSET(Arkusz2!$A$1,K32,3))</f>
        <v>692445707</v>
      </c>
    </row>
    <row r="33" spans="1:12" x14ac:dyDescent="0.25">
      <c r="A33" s="1">
        <v>139</v>
      </c>
      <c r="B33" t="s">
        <v>59</v>
      </c>
      <c r="C33" t="s">
        <v>60</v>
      </c>
      <c r="D33">
        <v>79060712587</v>
      </c>
      <c r="E33" t="s">
        <v>7</v>
      </c>
      <c r="F33" t="s">
        <v>257</v>
      </c>
      <c r="G33" s="6">
        <f t="shared" si="0"/>
        <v>29013</v>
      </c>
      <c r="H33" t="str">
        <f t="shared" si="1"/>
        <v>F</v>
      </c>
      <c r="I33" t="s">
        <v>392</v>
      </c>
      <c r="J33" s="7" t="str">
        <f t="shared" ca="1" si="2"/>
        <v>664192121</v>
      </c>
      <c r="K33" s="7">
        <f t="array" ref="K33">MATCH(ConvertPolish2Latin(B33&amp;C33),Arkusz2!$A$2:$A$282&amp;Arkusz2!$B$2:$B$282,0)</f>
        <v>210</v>
      </c>
      <c r="L33" s="7" t="str">
        <f ca="1">IF(OR(ISERROR(OFFSET(Arkusz2!$A$1,K33,3)),OFFSET(Arkusz2!$A$1,K33,3)=0),"",OFFSET(Arkusz2!$A$1,K33,3))</f>
        <v>664192121</v>
      </c>
    </row>
    <row r="34" spans="1:12" x14ac:dyDescent="0.25">
      <c r="A34" s="1">
        <v>73</v>
      </c>
      <c r="B34" t="s">
        <v>61</v>
      </c>
      <c r="C34" t="s">
        <v>62</v>
      </c>
      <c r="D34">
        <v>82112105581</v>
      </c>
      <c r="E34" t="s">
        <v>7</v>
      </c>
      <c r="F34" t="s">
        <v>258</v>
      </c>
      <c r="G34" s="6">
        <f t="shared" si="0"/>
        <v>30276</v>
      </c>
      <c r="H34" t="str">
        <f t="shared" si="1"/>
        <v>F</v>
      </c>
      <c r="I34" t="s">
        <v>392</v>
      </c>
      <c r="J34" s="7" t="str">
        <f t="shared" ca="1" si="2"/>
        <v>664192110</v>
      </c>
      <c r="K34" s="7">
        <f t="array" ref="K34">MATCH(ConvertPolish2Latin(B34&amp;C34),Arkusz2!$A$2:$A$282&amp;Arkusz2!$B$2:$B$282,0)</f>
        <v>200</v>
      </c>
      <c r="L34" s="7" t="str">
        <f ca="1">IF(OR(ISERROR(OFFSET(Arkusz2!$A$1,K34,3)),OFFSET(Arkusz2!$A$1,K34,3)=0),"",OFFSET(Arkusz2!$A$1,K34,3))</f>
        <v>664192110</v>
      </c>
    </row>
    <row r="35" spans="1:12" x14ac:dyDescent="0.25">
      <c r="A35" s="1">
        <v>141</v>
      </c>
      <c r="B35" t="s">
        <v>63</v>
      </c>
      <c r="C35" t="s">
        <v>64</v>
      </c>
      <c r="D35">
        <v>60112201780</v>
      </c>
      <c r="E35" t="s">
        <v>7</v>
      </c>
      <c r="F35" t="s">
        <v>259</v>
      </c>
      <c r="G35" s="6">
        <f t="shared" si="0"/>
        <v>22242</v>
      </c>
      <c r="H35" t="str">
        <f t="shared" si="1"/>
        <v>F</v>
      </c>
      <c r="I35" t="s">
        <v>392</v>
      </c>
      <c r="J35" s="7" t="str">
        <f t="shared" ca="1" si="2"/>
        <v>602245949</v>
      </c>
      <c r="K35" s="7">
        <f t="array" ref="K35">MATCH(ConvertPolish2Latin(B35&amp;C35),Arkusz2!$A$2:$A$282&amp;Arkusz2!$B$2:$B$282,0)</f>
        <v>57</v>
      </c>
      <c r="L35" s="7" t="str">
        <f ca="1">IF(OR(ISERROR(OFFSET(Arkusz2!$A$1,K35,3)),OFFSET(Arkusz2!$A$1,K35,3)=0),"",OFFSET(Arkusz2!$A$1,K35,3))</f>
        <v>602245949</v>
      </c>
    </row>
    <row r="36" spans="1:12" x14ac:dyDescent="0.25">
      <c r="A36" s="1">
        <v>195</v>
      </c>
      <c r="B36" t="s">
        <v>49</v>
      </c>
      <c r="C36" t="s">
        <v>65</v>
      </c>
      <c r="D36">
        <v>82081407480</v>
      </c>
      <c r="E36" t="s">
        <v>7</v>
      </c>
      <c r="F36" t="s">
        <v>260</v>
      </c>
      <c r="G36" s="6">
        <f t="shared" si="0"/>
        <v>30177</v>
      </c>
      <c r="H36" t="str">
        <f t="shared" si="1"/>
        <v>F</v>
      </c>
      <c r="I36" t="s">
        <v>392</v>
      </c>
      <c r="J36" s="7" t="str">
        <f t="shared" ca="1" si="2"/>
        <v>608619304</v>
      </c>
      <c r="K36" s="7">
        <f t="array" ref="K36">MATCH(ConvertPolish2Latin(B36&amp;C36),Arkusz2!$A$2:$A$282&amp;Arkusz2!$B$2:$B$282,0)</f>
        <v>255</v>
      </c>
      <c r="L36" s="7" t="str">
        <f ca="1">IF(OR(ISERROR(OFFSET(Arkusz2!$A$1,K36,3)),OFFSET(Arkusz2!$A$1,K36,3)=0),"",OFFSET(Arkusz2!$A$1,K36,3))</f>
        <v>608619304</v>
      </c>
    </row>
    <row r="37" spans="1:12" x14ac:dyDescent="0.25">
      <c r="A37" s="1">
        <v>143</v>
      </c>
      <c r="B37" t="s">
        <v>19</v>
      </c>
      <c r="C37" t="s">
        <v>66</v>
      </c>
      <c r="D37">
        <v>81052500274</v>
      </c>
      <c r="E37" t="s">
        <v>7</v>
      </c>
      <c r="F37" t="s">
        <v>261</v>
      </c>
      <c r="G37" s="6">
        <f t="shared" si="0"/>
        <v>29731</v>
      </c>
      <c r="H37" t="str">
        <f t="shared" si="1"/>
        <v>M</v>
      </c>
      <c r="I37" t="s">
        <v>392</v>
      </c>
      <c r="J37" s="7" t="str">
        <f t="shared" ca="1" si="2"/>
        <v>664192118</v>
      </c>
      <c r="K37" s="7">
        <f t="array" ref="K37">MATCH(ConvertPolish2Latin(B37&amp;C37),Arkusz2!$A$2:$A$282&amp;Arkusz2!$B$2:$B$282,0)</f>
        <v>276</v>
      </c>
      <c r="L37" s="7" t="str">
        <f ca="1">IF(OR(ISERROR(OFFSET(Arkusz2!$A$1,K37,3)),OFFSET(Arkusz2!$A$1,K37,3)=0),"",OFFSET(Arkusz2!$A$1,K37,3))</f>
        <v>664192118</v>
      </c>
    </row>
    <row r="38" spans="1:12" x14ac:dyDescent="0.25">
      <c r="A38" s="1">
        <v>146</v>
      </c>
      <c r="B38" t="s">
        <v>67</v>
      </c>
      <c r="C38" t="s">
        <v>68</v>
      </c>
      <c r="D38">
        <v>79060200365</v>
      </c>
      <c r="E38" t="s">
        <v>7</v>
      </c>
      <c r="F38" t="s">
        <v>262</v>
      </c>
      <c r="G38" s="6">
        <f t="shared" si="0"/>
        <v>29008</v>
      </c>
      <c r="H38" t="str">
        <f t="shared" si="1"/>
        <v>F</v>
      </c>
      <c r="I38" t="s">
        <v>392</v>
      </c>
      <c r="J38" s="7" t="str">
        <f t="shared" ca="1" si="2"/>
        <v>600458161</v>
      </c>
      <c r="K38" s="7">
        <f t="array" ref="K38">MATCH(ConvertPolish2Latin(B38&amp;C38),Arkusz2!$A$2:$A$282&amp;Arkusz2!$B$2:$B$282,0)</f>
        <v>245</v>
      </c>
      <c r="L38" s="7" t="str">
        <f ca="1">IF(OR(ISERROR(OFFSET(Arkusz2!$A$1,K38,3)),OFFSET(Arkusz2!$A$1,K38,3)=0),"",OFFSET(Arkusz2!$A$1,K38,3))</f>
        <v>600458161</v>
      </c>
    </row>
    <row r="39" spans="1:12" x14ac:dyDescent="0.25">
      <c r="A39" s="1">
        <v>151</v>
      </c>
      <c r="B39" t="s">
        <v>69</v>
      </c>
      <c r="C39" t="s">
        <v>70</v>
      </c>
      <c r="D39">
        <v>78081400776</v>
      </c>
      <c r="E39" t="s">
        <v>7</v>
      </c>
      <c r="F39" t="s">
        <v>263</v>
      </c>
      <c r="G39" s="6">
        <f t="shared" si="0"/>
        <v>28716</v>
      </c>
      <c r="H39" t="str">
        <f t="shared" si="1"/>
        <v>M</v>
      </c>
      <c r="I39" t="s">
        <v>392</v>
      </c>
      <c r="J39" s="7" t="str">
        <f t="shared" ca="1" si="2"/>
        <v>600292392</v>
      </c>
      <c r="K39" s="7">
        <f t="array" ref="K39">MATCH(ConvertPolish2Latin(B39&amp;C39),Arkusz2!$A$2:$A$282&amp;Arkusz2!$B$2:$B$282,0)</f>
        <v>264</v>
      </c>
      <c r="L39" s="7" t="str">
        <f ca="1">IF(OR(ISERROR(OFFSET(Arkusz2!$A$1,K39,3)),OFFSET(Arkusz2!$A$1,K39,3)=0),"",OFFSET(Arkusz2!$A$1,K39,3))</f>
        <v>600292392</v>
      </c>
    </row>
    <row r="40" spans="1:12" x14ac:dyDescent="0.25">
      <c r="A40" s="1">
        <v>50</v>
      </c>
      <c r="B40" t="s">
        <v>17</v>
      </c>
      <c r="C40" t="s">
        <v>71</v>
      </c>
      <c r="D40">
        <v>81110816121</v>
      </c>
      <c r="E40" t="s">
        <v>7</v>
      </c>
      <c r="F40" t="s">
        <v>264</v>
      </c>
      <c r="G40" s="6">
        <f t="shared" si="0"/>
        <v>29898</v>
      </c>
      <c r="H40" t="str">
        <f t="shared" si="1"/>
        <v>F</v>
      </c>
      <c r="I40" t="s">
        <v>392</v>
      </c>
      <c r="J40" s="7" t="str">
        <f t="shared" ca="1" si="2"/>
        <v/>
      </c>
      <c r="K40" s="7" t="e">
        <f t="array" ref="K40">MATCH(ConvertPolish2Latin(B40&amp;C40),Arkusz2!$A$2:$A$282&amp;Arkusz2!$B$2:$B$282,0)</f>
        <v>#N/A</v>
      </c>
      <c r="L40" s="7" t="e">
        <f ca="1">IF(OR(ISERROR(OFFSET(Arkusz2!$A$1,K40,3)),OFFSET(Arkusz2!$A$1,K40,3)=0),"",OFFSET(Arkusz2!$A$1,K40,3))</f>
        <v>#N/A</v>
      </c>
    </row>
    <row r="41" spans="1:12" x14ac:dyDescent="0.25">
      <c r="A41" s="1">
        <v>163</v>
      </c>
      <c r="B41" t="s">
        <v>72</v>
      </c>
      <c r="C41" t="s">
        <v>43</v>
      </c>
      <c r="D41">
        <v>84060316518</v>
      </c>
      <c r="E41" t="s">
        <v>7</v>
      </c>
      <c r="F41" t="s">
        <v>265</v>
      </c>
      <c r="G41" s="6">
        <f t="shared" si="0"/>
        <v>30836</v>
      </c>
      <c r="H41" t="str">
        <f t="shared" si="1"/>
        <v>M</v>
      </c>
      <c r="I41" t="s">
        <v>392</v>
      </c>
      <c r="J41" s="7" t="str">
        <f t="shared" ca="1" si="2"/>
        <v>692421999</v>
      </c>
      <c r="K41" s="7">
        <f t="array" ref="K41">MATCH(ConvertPolish2Latin(B41&amp;C41),Arkusz2!$A$2:$A$282&amp;Arkusz2!$B$2:$B$282,0)</f>
        <v>226</v>
      </c>
      <c r="L41" s="7" t="str">
        <f ca="1">IF(OR(ISERROR(OFFSET(Arkusz2!$A$1,K41,3)),OFFSET(Arkusz2!$A$1,K41,3)=0),"",OFFSET(Arkusz2!$A$1,K41,3))</f>
        <v>692421999</v>
      </c>
    </row>
    <row r="42" spans="1:12" x14ac:dyDescent="0.25">
      <c r="A42" s="1">
        <v>165</v>
      </c>
      <c r="B42" t="s">
        <v>73</v>
      </c>
      <c r="C42" t="s">
        <v>74</v>
      </c>
      <c r="D42">
        <v>80110200567</v>
      </c>
      <c r="E42" t="s">
        <v>7</v>
      </c>
      <c r="F42" s="5" t="s">
        <v>386</v>
      </c>
      <c r="G42" s="6">
        <f t="shared" si="0"/>
        <v>29527</v>
      </c>
      <c r="H42" t="str">
        <f t="shared" si="1"/>
        <v>F</v>
      </c>
      <c r="I42" t="s">
        <v>392</v>
      </c>
      <c r="J42" s="7" t="str">
        <f t="shared" ca="1" si="2"/>
        <v/>
      </c>
      <c r="K42" s="7" t="e">
        <f t="array" ref="K42">MATCH(ConvertPolish2Latin(B42&amp;C42),Arkusz2!$A$2:$A$282&amp;Arkusz2!$B$2:$B$282,0)</f>
        <v>#N/A</v>
      </c>
      <c r="L42" s="7" t="e">
        <f ca="1">IF(OR(ISERROR(OFFSET(Arkusz2!$A$1,K42,3)),OFFSET(Arkusz2!$A$1,K42,3)=0),"",OFFSET(Arkusz2!$A$1,K42,3))</f>
        <v>#N/A</v>
      </c>
    </row>
    <row r="43" spans="1:12" x14ac:dyDescent="0.25">
      <c r="A43" s="1">
        <v>166</v>
      </c>
      <c r="B43" t="s">
        <v>75</v>
      </c>
      <c r="C43" t="s">
        <v>76</v>
      </c>
      <c r="D43">
        <v>74051708309</v>
      </c>
      <c r="E43" t="s">
        <v>7</v>
      </c>
      <c r="F43" t="s">
        <v>266</v>
      </c>
      <c r="G43" s="6">
        <f t="shared" si="0"/>
        <v>27166</v>
      </c>
      <c r="H43" t="str">
        <f t="shared" si="1"/>
        <v>F</v>
      </c>
      <c r="I43" t="s">
        <v>392</v>
      </c>
      <c r="J43" s="7" t="str">
        <f t="shared" ca="1" si="2"/>
        <v>604220632</v>
      </c>
      <c r="K43" s="7">
        <f t="array" ref="K43">MATCH(ConvertPolish2Latin(B43&amp;C43),Arkusz2!$A$2:$A$282&amp;Arkusz2!$B$2:$B$282,0)</f>
        <v>207</v>
      </c>
      <c r="L43" s="7" t="str">
        <f ca="1">IF(OR(ISERROR(OFFSET(Arkusz2!$A$1,K43,3)),OFFSET(Arkusz2!$A$1,K43,3)=0),"",OFFSET(Arkusz2!$A$1,K43,3))</f>
        <v>604220632</v>
      </c>
    </row>
    <row r="44" spans="1:12" x14ac:dyDescent="0.25">
      <c r="A44" s="1">
        <v>174</v>
      </c>
      <c r="B44" t="s">
        <v>61</v>
      </c>
      <c r="C44" t="s">
        <v>77</v>
      </c>
      <c r="D44">
        <v>81060500185</v>
      </c>
      <c r="E44" t="s">
        <v>7</v>
      </c>
      <c r="F44" s="5" t="s">
        <v>387</v>
      </c>
      <c r="G44" s="6">
        <f t="shared" si="0"/>
        <v>29742</v>
      </c>
      <c r="H44" t="str">
        <f t="shared" si="1"/>
        <v>F</v>
      </c>
      <c r="I44" t="s">
        <v>392</v>
      </c>
      <c r="J44" s="7" t="str">
        <f t="shared" ca="1" si="2"/>
        <v/>
      </c>
      <c r="K44" s="7" t="e">
        <f t="array" ref="K44">MATCH(ConvertPolish2Latin(B44&amp;C44),Arkusz2!$A$2:$A$282&amp;Arkusz2!$B$2:$B$282,0)</f>
        <v>#N/A</v>
      </c>
      <c r="L44" s="7" t="e">
        <f ca="1">IF(OR(ISERROR(OFFSET(Arkusz2!$A$1,K44,3)),OFFSET(Arkusz2!$A$1,K44,3)=0),"",OFFSET(Arkusz2!$A$1,K44,3))</f>
        <v>#N/A</v>
      </c>
    </row>
    <row r="45" spans="1:12" x14ac:dyDescent="0.25">
      <c r="A45" s="1">
        <v>176</v>
      </c>
      <c r="B45" t="s">
        <v>23</v>
      </c>
      <c r="C45" t="s">
        <v>78</v>
      </c>
      <c r="D45">
        <v>77110311049</v>
      </c>
      <c r="E45" t="s">
        <v>7</v>
      </c>
      <c r="F45" t="s">
        <v>267</v>
      </c>
      <c r="G45" s="6">
        <f t="shared" si="0"/>
        <v>28432</v>
      </c>
      <c r="H45" t="str">
        <f t="shared" si="1"/>
        <v>F</v>
      </c>
      <c r="I45" t="s">
        <v>392</v>
      </c>
      <c r="J45" s="7" t="str">
        <f t="shared" ca="1" si="2"/>
        <v>664192116</v>
      </c>
      <c r="K45" s="7">
        <f t="array" ref="K45">MATCH(ConvertPolish2Latin(B45&amp;C45),Arkusz2!$A$2:$A$282&amp;Arkusz2!$B$2:$B$282,0)</f>
        <v>72</v>
      </c>
      <c r="L45" s="7" t="str">
        <f ca="1">IF(OR(ISERROR(OFFSET(Arkusz2!$A$1,K45,3)),OFFSET(Arkusz2!$A$1,K45,3)=0),"",OFFSET(Arkusz2!$A$1,K45,3))</f>
        <v>664192116</v>
      </c>
    </row>
    <row r="46" spans="1:12" x14ac:dyDescent="0.25">
      <c r="A46" s="1">
        <v>179</v>
      </c>
      <c r="B46" t="s">
        <v>79</v>
      </c>
      <c r="C46" t="s">
        <v>80</v>
      </c>
      <c r="D46">
        <v>77073112756</v>
      </c>
      <c r="E46" t="s">
        <v>7</v>
      </c>
      <c r="F46" t="s">
        <v>268</v>
      </c>
      <c r="G46" s="6">
        <f t="shared" si="0"/>
        <v>28337</v>
      </c>
      <c r="H46" t="str">
        <f t="shared" si="1"/>
        <v>M</v>
      </c>
      <c r="I46" t="s">
        <v>392</v>
      </c>
      <c r="J46" s="7" t="str">
        <f t="shared" ca="1" si="2"/>
        <v>604266029</v>
      </c>
      <c r="K46" s="7">
        <f t="array" ref="K46">MATCH(ConvertPolish2Latin(B46&amp;C46),Arkusz2!$A$2:$A$282&amp;Arkusz2!$B$2:$B$282,0)</f>
        <v>8</v>
      </c>
      <c r="L46" s="7" t="str">
        <f ca="1">IF(OR(ISERROR(OFFSET(Arkusz2!$A$1,K46,3)),OFFSET(Arkusz2!$A$1,K46,3)=0),"",OFFSET(Arkusz2!$A$1,K46,3))</f>
        <v>604266029</v>
      </c>
    </row>
    <row r="47" spans="1:12" x14ac:dyDescent="0.25">
      <c r="A47" s="1">
        <v>180</v>
      </c>
      <c r="B47" t="s">
        <v>72</v>
      </c>
      <c r="C47" t="s">
        <v>81</v>
      </c>
      <c r="D47">
        <v>82052500950</v>
      </c>
      <c r="E47" t="s">
        <v>7</v>
      </c>
      <c r="F47" t="s">
        <v>269</v>
      </c>
      <c r="G47" s="6">
        <f t="shared" si="0"/>
        <v>30096</v>
      </c>
      <c r="H47" t="str">
        <f t="shared" si="1"/>
        <v>M</v>
      </c>
      <c r="I47" t="s">
        <v>392</v>
      </c>
      <c r="J47" s="7" t="str">
        <f t="shared" ca="1" si="2"/>
        <v>662430040</v>
      </c>
      <c r="K47" s="7">
        <f t="array" ref="K47">MATCH(ConvertPolish2Latin(B47&amp;C47),Arkusz2!$A$2:$A$282&amp;Arkusz2!$B$2:$B$282,0)</f>
        <v>278</v>
      </c>
      <c r="L47" s="7" t="str">
        <f ca="1">IF(OR(ISERROR(OFFSET(Arkusz2!$A$1,K47,3)),OFFSET(Arkusz2!$A$1,K47,3)=0),"",OFFSET(Arkusz2!$A$1,K47,3))</f>
        <v>662430040</v>
      </c>
    </row>
    <row r="48" spans="1:12" x14ac:dyDescent="0.25">
      <c r="A48" s="1">
        <v>196</v>
      </c>
      <c r="B48" t="s">
        <v>82</v>
      </c>
      <c r="C48" t="s">
        <v>83</v>
      </c>
      <c r="D48">
        <v>81102300094</v>
      </c>
      <c r="E48" t="s">
        <v>7</v>
      </c>
      <c r="F48" t="s">
        <v>270</v>
      </c>
      <c r="G48" s="6">
        <f t="shared" si="0"/>
        <v>29882</v>
      </c>
      <c r="H48" t="str">
        <f t="shared" si="1"/>
        <v>M</v>
      </c>
      <c r="I48" t="s">
        <v>392</v>
      </c>
      <c r="J48" s="7" t="str">
        <f t="shared" ca="1" si="2"/>
        <v>692431272</v>
      </c>
      <c r="K48" s="7">
        <f t="array" ref="K48">MATCH(ConvertPolish2Latin(B48&amp;C48),Arkusz2!$A$2:$A$282&amp;Arkusz2!$B$2:$B$282,0)</f>
        <v>178</v>
      </c>
      <c r="L48" s="7" t="str">
        <f ca="1">IF(OR(ISERROR(OFFSET(Arkusz2!$A$1,K48,3)),OFFSET(Arkusz2!$A$1,K48,3)=0),"",OFFSET(Arkusz2!$A$1,K48,3))</f>
        <v>692431272</v>
      </c>
    </row>
    <row r="49" spans="1:12" x14ac:dyDescent="0.25">
      <c r="A49" s="1">
        <v>197</v>
      </c>
      <c r="B49" t="s">
        <v>84</v>
      </c>
      <c r="C49" t="s">
        <v>85</v>
      </c>
      <c r="D49">
        <v>77090900929</v>
      </c>
      <c r="E49" t="s">
        <v>7</v>
      </c>
      <c r="F49" t="s">
        <v>271</v>
      </c>
      <c r="G49" s="6">
        <f t="shared" si="0"/>
        <v>28377</v>
      </c>
      <c r="H49" t="str">
        <f t="shared" si="1"/>
        <v>F</v>
      </c>
      <c r="I49" t="s">
        <v>392</v>
      </c>
      <c r="J49" s="7" t="str">
        <f t="shared" ca="1" si="2"/>
        <v>664192138</v>
      </c>
      <c r="K49" s="7">
        <f t="array" ref="K49">MATCH(ConvertPolish2Latin(B49&amp;C49),Arkusz2!$A$2:$A$282&amp;Arkusz2!$B$2:$B$282,0)</f>
        <v>48</v>
      </c>
      <c r="L49" s="7" t="str">
        <f ca="1">IF(OR(ISERROR(OFFSET(Arkusz2!$A$1,K49,3)),OFFSET(Arkusz2!$A$1,K49,3)=0),"",OFFSET(Arkusz2!$A$1,K49,3))</f>
        <v>664192138</v>
      </c>
    </row>
    <row r="50" spans="1:12" x14ac:dyDescent="0.25">
      <c r="A50" s="1">
        <v>204</v>
      </c>
      <c r="B50" t="s">
        <v>37</v>
      </c>
      <c r="C50" t="s">
        <v>86</v>
      </c>
      <c r="D50">
        <v>81100304724</v>
      </c>
      <c r="E50" t="s">
        <v>7</v>
      </c>
      <c r="F50" t="s">
        <v>272</v>
      </c>
      <c r="G50" s="6">
        <f t="shared" si="0"/>
        <v>29862</v>
      </c>
      <c r="H50" t="str">
        <f t="shared" si="1"/>
        <v>F</v>
      </c>
      <c r="I50" t="s">
        <v>392</v>
      </c>
      <c r="J50" s="7" t="str">
        <f t="shared" ca="1" si="2"/>
        <v>664192141</v>
      </c>
      <c r="K50" s="7">
        <f t="array" ref="K50">MATCH(ConvertPolish2Latin(B50&amp;C50),Arkusz2!$A$2:$A$282&amp;Arkusz2!$B$2:$B$282,0)</f>
        <v>99</v>
      </c>
      <c r="L50" s="7" t="str">
        <f ca="1">IF(OR(ISERROR(OFFSET(Arkusz2!$A$1,K50,3)),OFFSET(Arkusz2!$A$1,K50,3)=0),"",OFFSET(Arkusz2!$A$1,K50,3))</f>
        <v>664192141</v>
      </c>
    </row>
    <row r="51" spans="1:12" x14ac:dyDescent="0.25">
      <c r="A51" s="1">
        <v>206</v>
      </c>
      <c r="B51" t="s">
        <v>63</v>
      </c>
      <c r="C51" t="s">
        <v>87</v>
      </c>
      <c r="D51">
        <v>80103000682</v>
      </c>
      <c r="E51" t="s">
        <v>7</v>
      </c>
      <c r="F51" t="s">
        <v>273</v>
      </c>
      <c r="G51" s="6">
        <f t="shared" si="0"/>
        <v>29524</v>
      </c>
      <c r="H51" t="str">
        <f t="shared" si="1"/>
        <v>F</v>
      </c>
      <c r="I51" t="s">
        <v>392</v>
      </c>
      <c r="J51" s="7" t="str">
        <f t="shared" ca="1" si="2"/>
        <v>664192109</v>
      </c>
      <c r="K51" s="7">
        <f t="array" ref="K51">MATCH(ConvertPolish2Latin(B51&amp;C51),Arkusz2!$A$2:$A$282&amp;Arkusz2!$B$2:$B$282,0)</f>
        <v>192</v>
      </c>
      <c r="L51" s="7" t="str">
        <f ca="1">IF(OR(ISERROR(OFFSET(Arkusz2!$A$1,K51,3)),OFFSET(Arkusz2!$A$1,K51,3)=0),"",OFFSET(Arkusz2!$A$1,K51,3))</f>
        <v>664192109</v>
      </c>
    </row>
    <row r="52" spans="1:12" x14ac:dyDescent="0.25">
      <c r="A52" s="1">
        <v>209</v>
      </c>
      <c r="B52" t="s">
        <v>88</v>
      </c>
      <c r="C52" t="s">
        <v>89</v>
      </c>
      <c r="D52">
        <v>80091109730</v>
      </c>
      <c r="E52" t="s">
        <v>7</v>
      </c>
      <c r="F52" t="s">
        <v>274</v>
      </c>
      <c r="G52" s="6">
        <f t="shared" si="0"/>
        <v>29475</v>
      </c>
      <c r="H52" t="str">
        <f t="shared" si="1"/>
        <v>M</v>
      </c>
      <c r="I52" t="s">
        <v>392</v>
      </c>
      <c r="J52" s="7" t="str">
        <f t="shared" ca="1" si="2"/>
        <v>664192136</v>
      </c>
      <c r="K52" s="7">
        <f t="array" ref="K52">MATCH(ConvertPolish2Latin(B52&amp;C52),Arkusz2!$A$2:$A$282&amp;Arkusz2!$B$2:$B$282,0)</f>
        <v>4</v>
      </c>
      <c r="L52" s="7" t="str">
        <f ca="1">IF(OR(ISERROR(OFFSET(Arkusz2!$A$1,K52,3)),OFFSET(Arkusz2!$A$1,K52,3)=0),"",OFFSET(Arkusz2!$A$1,K52,3))</f>
        <v>664192136</v>
      </c>
    </row>
    <row r="53" spans="1:12" x14ac:dyDescent="0.25">
      <c r="A53" s="1">
        <v>215</v>
      </c>
      <c r="B53" t="s">
        <v>5</v>
      </c>
      <c r="C53" t="s">
        <v>90</v>
      </c>
      <c r="D53">
        <v>81050407405</v>
      </c>
      <c r="E53" t="s">
        <v>7</v>
      </c>
      <c r="F53" t="s">
        <v>275</v>
      </c>
      <c r="G53" s="6">
        <f t="shared" si="0"/>
        <v>29710</v>
      </c>
      <c r="H53" t="str">
        <f t="shared" si="1"/>
        <v>F</v>
      </c>
      <c r="I53" t="s">
        <v>392</v>
      </c>
      <c r="J53" s="7" t="str">
        <f t="shared" ca="1" si="2"/>
        <v>662666304</v>
      </c>
      <c r="K53" s="7">
        <f t="array" ref="K53">MATCH(ConvertPolish2Latin(B53&amp;C53),Arkusz2!$A$2:$A$282&amp;Arkusz2!$B$2:$B$282,0)</f>
        <v>70</v>
      </c>
      <c r="L53" s="7" t="str">
        <f ca="1">IF(OR(ISERROR(OFFSET(Arkusz2!$A$1,K53,3)),OFFSET(Arkusz2!$A$1,K53,3)=0),"",OFFSET(Arkusz2!$A$1,K53,3))</f>
        <v>662666304</v>
      </c>
    </row>
    <row r="54" spans="1:12" x14ac:dyDescent="0.25">
      <c r="A54" s="1">
        <v>218</v>
      </c>
      <c r="B54" t="s">
        <v>59</v>
      </c>
      <c r="C54" t="s">
        <v>91</v>
      </c>
      <c r="D54">
        <v>77050204562</v>
      </c>
      <c r="E54" t="s">
        <v>7</v>
      </c>
      <c r="F54" t="s">
        <v>276</v>
      </c>
      <c r="G54" s="6">
        <f t="shared" si="0"/>
        <v>28247</v>
      </c>
      <c r="H54" t="str">
        <f t="shared" si="1"/>
        <v>F</v>
      </c>
      <c r="I54" t="s">
        <v>392</v>
      </c>
      <c r="J54" s="7" t="str">
        <f t="shared" ca="1" si="2"/>
        <v/>
      </c>
      <c r="K54" s="7" t="e">
        <f t="array" ref="K54">MATCH(ConvertPolish2Latin(B54&amp;C54),Arkusz2!$A$2:$A$282&amp;Arkusz2!$B$2:$B$282,0)</f>
        <v>#N/A</v>
      </c>
      <c r="L54" s="7" t="e">
        <f ca="1">IF(OR(ISERROR(OFFSET(Arkusz2!$A$1,K54,3)),OFFSET(Arkusz2!$A$1,K54,3)=0),"",OFFSET(Arkusz2!$A$1,K54,3))</f>
        <v>#N/A</v>
      </c>
    </row>
    <row r="55" spans="1:12" x14ac:dyDescent="0.25">
      <c r="A55" s="1">
        <v>223</v>
      </c>
      <c r="B55" t="s">
        <v>67</v>
      </c>
      <c r="C55" t="s">
        <v>92</v>
      </c>
      <c r="D55">
        <v>82081100246</v>
      </c>
      <c r="E55" t="s">
        <v>7</v>
      </c>
      <c r="F55" t="s">
        <v>277</v>
      </c>
      <c r="G55" s="6">
        <f t="shared" si="0"/>
        <v>30174</v>
      </c>
      <c r="H55" t="str">
        <f t="shared" si="1"/>
        <v>F</v>
      </c>
      <c r="I55" t="s">
        <v>392</v>
      </c>
      <c r="J55" s="7" t="str">
        <f t="shared" ca="1" si="2"/>
        <v>692415053</v>
      </c>
      <c r="K55" s="7">
        <f t="array" ref="K55">MATCH(ConvertPolish2Latin(B55&amp;C55),Arkusz2!$A$2:$A$282&amp;Arkusz2!$B$2:$B$282,0)</f>
        <v>92</v>
      </c>
      <c r="L55" s="7" t="str">
        <f ca="1">IF(OR(ISERROR(OFFSET(Arkusz2!$A$1,K55,3)),OFFSET(Arkusz2!$A$1,K55,3)=0),"",OFFSET(Arkusz2!$A$1,K55,3))</f>
        <v>692415053</v>
      </c>
    </row>
    <row r="56" spans="1:12" x14ac:dyDescent="0.25">
      <c r="A56" s="1">
        <v>128</v>
      </c>
      <c r="B56" t="s">
        <v>93</v>
      </c>
      <c r="C56" t="s">
        <v>94</v>
      </c>
      <c r="D56">
        <v>81122911184</v>
      </c>
      <c r="E56" t="s">
        <v>7</v>
      </c>
      <c r="F56" t="s">
        <v>278</v>
      </c>
      <c r="G56" s="6">
        <f t="shared" si="0"/>
        <v>29949</v>
      </c>
      <c r="H56" t="str">
        <f t="shared" si="1"/>
        <v>F</v>
      </c>
      <c r="I56" t="s">
        <v>392</v>
      </c>
      <c r="J56" s="7" t="str">
        <f t="shared" ca="1" si="2"/>
        <v>664192108</v>
      </c>
      <c r="K56" s="7">
        <f t="array" ref="K56">MATCH(ConvertPolish2Latin(B56&amp;C56),Arkusz2!$A$2:$A$282&amp;Arkusz2!$B$2:$B$282,0)</f>
        <v>25</v>
      </c>
      <c r="L56" s="7" t="str">
        <f ca="1">IF(OR(ISERROR(OFFSET(Arkusz2!$A$1,K56,3)),OFFSET(Arkusz2!$A$1,K56,3)=0),"",OFFSET(Arkusz2!$A$1,K56,3))</f>
        <v>664192108</v>
      </c>
    </row>
    <row r="57" spans="1:12" x14ac:dyDescent="0.25">
      <c r="A57" s="1">
        <v>37</v>
      </c>
      <c r="B57" t="s">
        <v>95</v>
      </c>
      <c r="C57" t="s">
        <v>96</v>
      </c>
      <c r="D57">
        <v>85022410268</v>
      </c>
      <c r="E57" t="s">
        <v>7</v>
      </c>
      <c r="F57" t="s">
        <v>279</v>
      </c>
      <c r="G57" s="6">
        <f t="shared" si="0"/>
        <v>31102</v>
      </c>
      <c r="H57" t="str">
        <f t="shared" si="1"/>
        <v>F</v>
      </c>
      <c r="I57" t="s">
        <v>392</v>
      </c>
      <c r="J57" s="7" t="str">
        <f t="shared" ca="1" si="2"/>
        <v>664164828</v>
      </c>
      <c r="K57" s="7">
        <f t="array" ref="K57">MATCH(ConvertPolish2Latin(B57&amp;C57),Arkusz2!$A$2:$A$282&amp;Arkusz2!$B$2:$B$282,0)</f>
        <v>152</v>
      </c>
      <c r="L57" s="7" t="str">
        <f ca="1">IF(OR(ISERROR(OFFSET(Arkusz2!$A$1,K57,3)),OFFSET(Arkusz2!$A$1,K57,3)=0),"",OFFSET(Arkusz2!$A$1,K57,3))</f>
        <v>664164828</v>
      </c>
    </row>
    <row r="58" spans="1:12" x14ac:dyDescent="0.25">
      <c r="A58" s="1">
        <v>105</v>
      </c>
      <c r="B58" t="s">
        <v>84</v>
      </c>
      <c r="C58" t="s">
        <v>97</v>
      </c>
      <c r="D58">
        <v>85051003561</v>
      </c>
      <c r="E58" t="s">
        <v>7</v>
      </c>
      <c r="F58" t="s">
        <v>280</v>
      </c>
      <c r="G58" s="6">
        <f t="shared" si="0"/>
        <v>31177</v>
      </c>
      <c r="H58" t="str">
        <f t="shared" si="1"/>
        <v>F</v>
      </c>
      <c r="I58" t="s">
        <v>392</v>
      </c>
      <c r="J58" s="7" t="str">
        <f t="shared" ca="1" si="2"/>
        <v>608619201</v>
      </c>
      <c r="K58" s="7">
        <f t="array" ref="K58">MATCH(ConvertPolish2Latin(B58&amp;C58),Arkusz2!$A$2:$A$282&amp;Arkusz2!$B$2:$B$282,0)</f>
        <v>122</v>
      </c>
      <c r="L58" s="7" t="str">
        <f ca="1">IF(OR(ISERROR(OFFSET(Arkusz2!$A$1,K58,3)),OFFSET(Arkusz2!$A$1,K58,3)=0),"",OFFSET(Arkusz2!$A$1,K58,3))</f>
        <v>608619201</v>
      </c>
    </row>
    <row r="59" spans="1:12" x14ac:dyDescent="0.25">
      <c r="A59" s="1">
        <v>198</v>
      </c>
      <c r="B59" t="s">
        <v>98</v>
      </c>
      <c r="C59" t="s">
        <v>85</v>
      </c>
      <c r="D59">
        <v>86080703240</v>
      </c>
      <c r="E59" t="s">
        <v>99</v>
      </c>
      <c r="F59" t="s">
        <v>281</v>
      </c>
      <c r="G59" s="6">
        <f t="shared" si="0"/>
        <v>31631</v>
      </c>
      <c r="H59" t="str">
        <f t="shared" si="1"/>
        <v>F</v>
      </c>
      <c r="I59" t="s">
        <v>392</v>
      </c>
      <c r="J59" s="7" t="str">
        <f t="shared" ca="1" si="2"/>
        <v/>
      </c>
      <c r="K59" s="7">
        <f t="array" ref="K59">MATCH(ConvertPolish2Latin(B59&amp;C59),Arkusz2!$A$2:$A$282&amp;Arkusz2!$B$2:$B$282,0)</f>
        <v>212</v>
      </c>
      <c r="L59" s="7" t="str">
        <f ca="1">IF(OR(ISERROR(OFFSET(Arkusz2!$A$1,K59,3)),OFFSET(Arkusz2!$A$1,K59,3)=0),"",OFFSET(Arkusz2!$A$1,K59,3))</f>
        <v/>
      </c>
    </row>
    <row r="60" spans="1:12" x14ac:dyDescent="0.25">
      <c r="A60" s="1">
        <v>56</v>
      </c>
      <c r="B60" t="s">
        <v>13</v>
      </c>
      <c r="C60" t="s">
        <v>100</v>
      </c>
      <c r="D60">
        <v>84092204852</v>
      </c>
      <c r="E60" t="s">
        <v>7</v>
      </c>
      <c r="F60" t="s">
        <v>282</v>
      </c>
      <c r="G60" s="6">
        <f t="shared" si="0"/>
        <v>30947</v>
      </c>
      <c r="H60" t="str">
        <f t="shared" si="1"/>
        <v>M</v>
      </c>
      <c r="I60" t="s">
        <v>392</v>
      </c>
      <c r="J60" s="7" t="str">
        <f t="shared" ca="1" si="2"/>
        <v>692448609</v>
      </c>
      <c r="K60" s="7">
        <f t="array" ref="K60">MATCH(ConvertPolish2Latin(B60&amp;C60),Arkusz2!$A$2:$A$282&amp;Arkusz2!$B$2:$B$282,0)</f>
        <v>201</v>
      </c>
      <c r="L60" s="7" t="str">
        <f ca="1">IF(OR(ISERROR(OFFSET(Arkusz2!$A$1,K60,3)),OFFSET(Arkusz2!$A$1,K60,3)=0),"",OFFSET(Arkusz2!$A$1,K60,3))</f>
        <v>692448609</v>
      </c>
    </row>
    <row r="61" spans="1:12" x14ac:dyDescent="0.25">
      <c r="A61" s="1">
        <v>187</v>
      </c>
      <c r="B61" t="s">
        <v>67</v>
      </c>
      <c r="C61" t="s">
        <v>101</v>
      </c>
      <c r="D61">
        <v>85021900643</v>
      </c>
      <c r="E61" t="s">
        <v>7</v>
      </c>
      <c r="F61" t="s">
        <v>283</v>
      </c>
      <c r="G61" s="6">
        <f t="shared" si="0"/>
        <v>31097</v>
      </c>
      <c r="H61" t="str">
        <f t="shared" si="1"/>
        <v>F</v>
      </c>
      <c r="I61" t="s">
        <v>392</v>
      </c>
      <c r="J61" s="7" t="str">
        <f t="shared" ca="1" si="2"/>
        <v>692428687</v>
      </c>
      <c r="K61" s="7">
        <f t="array" ref="K61">MATCH(ConvertPolish2Latin(B61&amp;C61),Arkusz2!$A$2:$A$282&amp;Arkusz2!$B$2:$B$282,0)</f>
        <v>151</v>
      </c>
      <c r="L61" s="7" t="str">
        <f ca="1">IF(OR(ISERROR(OFFSET(Arkusz2!$A$1,K61,3)),OFFSET(Arkusz2!$A$1,K61,3)=0),"",OFFSET(Arkusz2!$A$1,K61,3))</f>
        <v>692428687</v>
      </c>
    </row>
    <row r="62" spans="1:12" x14ac:dyDescent="0.25">
      <c r="A62" s="1">
        <v>41</v>
      </c>
      <c r="B62" t="s">
        <v>19</v>
      </c>
      <c r="C62" t="s">
        <v>102</v>
      </c>
      <c r="D62">
        <v>81110919237</v>
      </c>
      <c r="E62" t="s">
        <v>7</v>
      </c>
      <c r="F62" t="s">
        <v>284</v>
      </c>
      <c r="G62" s="6">
        <f t="shared" si="0"/>
        <v>29899</v>
      </c>
      <c r="H62" t="str">
        <f t="shared" si="1"/>
        <v>M</v>
      </c>
      <c r="I62" t="s">
        <v>392</v>
      </c>
      <c r="J62" s="7" t="str">
        <f t="shared" ca="1" si="2"/>
        <v>600452204</v>
      </c>
      <c r="K62" s="7">
        <f t="array" ref="K62">MATCH(ConvertPolish2Latin(B62&amp;C62),Arkusz2!$A$2:$A$282&amp;Arkusz2!$B$2:$B$282,0)</f>
        <v>238</v>
      </c>
      <c r="L62" s="7" t="str">
        <f ca="1">IF(OR(ISERROR(OFFSET(Arkusz2!$A$1,K62,3)),OFFSET(Arkusz2!$A$1,K62,3)=0),"",OFFSET(Arkusz2!$A$1,K62,3))</f>
        <v>600452204</v>
      </c>
    </row>
    <row r="63" spans="1:12" x14ac:dyDescent="0.25">
      <c r="A63" s="1">
        <v>15</v>
      </c>
      <c r="B63" t="s">
        <v>103</v>
      </c>
      <c r="C63" t="s">
        <v>104</v>
      </c>
      <c r="D63">
        <v>84013006226</v>
      </c>
      <c r="E63" t="s">
        <v>7</v>
      </c>
      <c r="F63" t="s">
        <v>285</v>
      </c>
      <c r="G63" s="6">
        <f t="shared" si="0"/>
        <v>30711</v>
      </c>
      <c r="H63" t="str">
        <f t="shared" si="1"/>
        <v>F</v>
      </c>
      <c r="I63" t="s">
        <v>392</v>
      </c>
      <c r="J63" s="7" t="str">
        <f t="shared" ca="1" si="2"/>
        <v/>
      </c>
      <c r="K63" s="7" t="e">
        <f t="array" ref="K63">MATCH(ConvertPolish2Latin(B63&amp;C63),Arkusz2!$A$2:$A$282&amp;Arkusz2!$B$2:$B$282,0)</f>
        <v>#N/A</v>
      </c>
      <c r="L63" s="7" t="e">
        <f ca="1">IF(OR(ISERROR(OFFSET(Arkusz2!$A$1,K63,3)),OFFSET(Arkusz2!$A$1,K63,3)=0),"",OFFSET(Arkusz2!$A$1,K63,3))</f>
        <v>#N/A</v>
      </c>
    </row>
    <row r="64" spans="1:12" x14ac:dyDescent="0.25">
      <c r="A64" s="1">
        <v>70</v>
      </c>
      <c r="B64" t="s">
        <v>15</v>
      </c>
      <c r="C64" t="s">
        <v>105</v>
      </c>
      <c r="D64">
        <v>84111207899</v>
      </c>
      <c r="E64" t="s">
        <v>7</v>
      </c>
      <c r="F64" t="s">
        <v>286</v>
      </c>
      <c r="G64" s="6">
        <f t="shared" si="0"/>
        <v>30998</v>
      </c>
      <c r="H64" t="str">
        <f t="shared" si="1"/>
        <v>M</v>
      </c>
      <c r="I64" t="s">
        <v>392</v>
      </c>
      <c r="J64" s="7" t="str">
        <f t="shared" ca="1" si="2"/>
        <v>692418415</v>
      </c>
      <c r="K64" s="7">
        <f t="array" ref="K64">MATCH(ConvertPolish2Latin(B64&amp;C64),Arkusz2!$A$2:$A$282&amp;Arkusz2!$B$2:$B$282,0)</f>
        <v>112</v>
      </c>
      <c r="L64" s="7" t="str">
        <f ca="1">IF(OR(ISERROR(OFFSET(Arkusz2!$A$1,K64,3)),OFFSET(Arkusz2!$A$1,K64,3)=0),"",OFFSET(Arkusz2!$A$1,K64,3))</f>
        <v>692418415</v>
      </c>
    </row>
    <row r="65" spans="1:12" x14ac:dyDescent="0.25">
      <c r="A65" s="1">
        <v>150</v>
      </c>
      <c r="B65" t="s">
        <v>21</v>
      </c>
      <c r="C65" t="s">
        <v>106</v>
      </c>
      <c r="D65">
        <v>84111904536</v>
      </c>
      <c r="E65" t="s">
        <v>7</v>
      </c>
      <c r="F65" t="s">
        <v>287</v>
      </c>
      <c r="G65" s="6">
        <f t="shared" si="0"/>
        <v>31005</v>
      </c>
      <c r="H65" t="str">
        <f t="shared" si="1"/>
        <v>M</v>
      </c>
      <c r="I65" t="s">
        <v>392</v>
      </c>
      <c r="J65" s="7" t="str">
        <f t="shared" ca="1" si="2"/>
        <v>692416473</v>
      </c>
      <c r="K65" s="7">
        <f t="array" ref="K65">MATCH(ConvertPolish2Latin(B65&amp;C65),Arkusz2!$A$2:$A$282&amp;Arkusz2!$B$2:$B$282,0)</f>
        <v>60</v>
      </c>
      <c r="L65" s="7" t="str">
        <f ca="1">IF(OR(ISERROR(OFFSET(Arkusz2!$A$1,K65,3)),OFFSET(Arkusz2!$A$1,K65,3)=0),"",OFFSET(Arkusz2!$A$1,K65,3))</f>
        <v>692416473</v>
      </c>
    </row>
    <row r="66" spans="1:12" x14ac:dyDescent="0.25">
      <c r="A66" s="1">
        <v>177</v>
      </c>
      <c r="B66" t="s">
        <v>107</v>
      </c>
      <c r="C66" t="s">
        <v>108</v>
      </c>
      <c r="D66">
        <v>83031617076</v>
      </c>
      <c r="E66" t="s">
        <v>7</v>
      </c>
      <c r="F66" t="s">
        <v>288</v>
      </c>
      <c r="G66" s="6">
        <f t="shared" si="0"/>
        <v>30391</v>
      </c>
      <c r="H66" t="str">
        <f t="shared" si="1"/>
        <v>M</v>
      </c>
      <c r="I66" t="s">
        <v>392</v>
      </c>
      <c r="J66" s="7" t="str">
        <f t="shared" ca="1" si="2"/>
        <v>664192107</v>
      </c>
      <c r="K66" s="7">
        <f t="array" ref="K66">MATCH(ConvertPolish2Latin(B66&amp;C66),Arkusz2!$A$2:$A$282&amp;Arkusz2!$B$2:$B$282,0)</f>
        <v>269</v>
      </c>
      <c r="L66" s="7" t="str">
        <f ca="1">IF(OR(ISERROR(OFFSET(Arkusz2!$A$1,K66,3)),OFFSET(Arkusz2!$A$1,K66,3)=0),"",OFFSET(Arkusz2!$A$1,K66,3))</f>
        <v>664192107</v>
      </c>
    </row>
    <row r="67" spans="1:12" x14ac:dyDescent="0.25">
      <c r="A67" s="1">
        <v>8</v>
      </c>
      <c r="B67" t="s">
        <v>109</v>
      </c>
      <c r="C67" t="s">
        <v>110</v>
      </c>
      <c r="D67">
        <v>84040700324</v>
      </c>
      <c r="E67" t="s">
        <v>7</v>
      </c>
      <c r="F67" t="s">
        <v>289</v>
      </c>
      <c r="G67" s="6">
        <f t="shared" ref="G67:G130" si="3">DATE("19"&amp;LEFT(D67,2),MID(D67,3,2),MID(D67,5,2))</f>
        <v>30779</v>
      </c>
      <c r="H67" t="str">
        <f t="shared" ref="H67:H130" si="4">IF(ISEVEN(MID(D67,10,1)),"F","M")</f>
        <v>F</v>
      </c>
      <c r="I67" t="s">
        <v>392</v>
      </c>
      <c r="J67" s="7" t="str">
        <f t="shared" ref="J67:J130" ca="1" si="5">IF(ISERROR(L67),"",IF(L67=0,"",L67))</f>
        <v/>
      </c>
      <c r="K67" s="7" t="e">
        <f t="array" ref="K67">MATCH(ConvertPolish2Latin(B67&amp;C67),Arkusz2!$A$2:$A$282&amp;Arkusz2!$B$2:$B$282,0)</f>
        <v>#N/A</v>
      </c>
      <c r="L67" s="7" t="e">
        <f ca="1">IF(OR(ISERROR(OFFSET(Arkusz2!$A$1,K67,3)),OFFSET(Arkusz2!$A$1,K67,3)=0),"",OFFSET(Arkusz2!$A$1,K67,3))</f>
        <v>#N/A</v>
      </c>
    </row>
    <row r="68" spans="1:12" x14ac:dyDescent="0.25">
      <c r="A68" s="1">
        <v>167</v>
      </c>
      <c r="B68" t="s">
        <v>51</v>
      </c>
      <c r="C68" t="s">
        <v>111</v>
      </c>
      <c r="D68">
        <v>87081904371</v>
      </c>
      <c r="E68" t="s">
        <v>7</v>
      </c>
      <c r="F68" t="s">
        <v>290</v>
      </c>
      <c r="G68" s="6">
        <f t="shared" si="3"/>
        <v>32008</v>
      </c>
      <c r="H68" t="str">
        <f t="shared" si="4"/>
        <v>M</v>
      </c>
      <c r="I68" t="s">
        <v>392</v>
      </c>
      <c r="J68" s="7" t="str">
        <f t="shared" ca="1" si="5"/>
        <v>784019978</v>
      </c>
      <c r="K68" s="7">
        <f t="array" ref="K68">MATCH(ConvertPolish2Latin(B68&amp;C68),Arkusz2!$A$2:$A$282&amp;Arkusz2!$B$2:$B$282,0)</f>
        <v>148</v>
      </c>
      <c r="L68" s="7" t="str">
        <f ca="1">IF(OR(ISERROR(OFFSET(Arkusz2!$A$1,K68,3)),OFFSET(Arkusz2!$A$1,K68,3)=0),"",OFFSET(Arkusz2!$A$1,K68,3))</f>
        <v>784019978</v>
      </c>
    </row>
    <row r="69" spans="1:12" x14ac:dyDescent="0.25">
      <c r="A69" s="1">
        <v>108</v>
      </c>
      <c r="B69" t="s">
        <v>112</v>
      </c>
      <c r="C69" t="s">
        <v>113</v>
      </c>
      <c r="D69">
        <v>84070500330</v>
      </c>
      <c r="E69" t="s">
        <v>7</v>
      </c>
      <c r="F69" t="s">
        <v>291</v>
      </c>
      <c r="G69" s="6">
        <f t="shared" si="3"/>
        <v>30868</v>
      </c>
      <c r="H69" t="str">
        <f t="shared" si="4"/>
        <v>M</v>
      </c>
      <c r="I69" t="s">
        <v>392</v>
      </c>
      <c r="J69" s="7" t="str">
        <f t="shared" ca="1" si="5"/>
        <v>692447421</v>
      </c>
      <c r="K69" s="7">
        <f t="array" ref="K69">MATCH(ConvertPolish2Latin(B69&amp;C69),Arkusz2!$A$2:$A$282&amp;Arkusz2!$B$2:$B$282,0)</f>
        <v>213</v>
      </c>
      <c r="L69" s="7" t="str">
        <f ca="1">IF(OR(ISERROR(OFFSET(Arkusz2!$A$1,K69,3)),OFFSET(Arkusz2!$A$1,K69,3)=0),"",OFFSET(Arkusz2!$A$1,K69,3))</f>
        <v>692447421</v>
      </c>
    </row>
    <row r="70" spans="1:12" x14ac:dyDescent="0.25">
      <c r="A70" s="1">
        <v>177</v>
      </c>
      <c r="B70" t="s">
        <v>107</v>
      </c>
      <c r="C70" t="s">
        <v>108</v>
      </c>
      <c r="D70">
        <v>83031617076</v>
      </c>
      <c r="E70" t="s">
        <v>7</v>
      </c>
      <c r="F70" t="s">
        <v>288</v>
      </c>
      <c r="G70" s="6">
        <f t="shared" si="3"/>
        <v>30391</v>
      </c>
      <c r="H70" t="str">
        <f t="shared" si="4"/>
        <v>M</v>
      </c>
      <c r="I70" t="s">
        <v>392</v>
      </c>
      <c r="J70" s="7" t="str">
        <f t="shared" ca="1" si="5"/>
        <v>664192107</v>
      </c>
      <c r="K70" s="7">
        <f t="array" ref="K70">MATCH(ConvertPolish2Latin(B70&amp;C70),Arkusz2!$A$2:$A$282&amp;Arkusz2!$B$2:$B$282,0)</f>
        <v>269</v>
      </c>
      <c r="L70" s="7" t="str">
        <f ca="1">IF(OR(ISERROR(OFFSET(Arkusz2!$A$1,K70,3)),OFFSET(Arkusz2!$A$1,K70,3)=0),"",OFFSET(Arkusz2!$A$1,K70,3))</f>
        <v>664192107</v>
      </c>
    </row>
    <row r="71" spans="1:12" x14ac:dyDescent="0.25">
      <c r="A71" s="1">
        <v>225</v>
      </c>
      <c r="B71" t="s">
        <v>69</v>
      </c>
      <c r="C71" t="s">
        <v>114</v>
      </c>
      <c r="D71">
        <v>80112511379</v>
      </c>
      <c r="E71" t="s">
        <v>7</v>
      </c>
      <c r="F71" t="s">
        <v>292</v>
      </c>
      <c r="G71" s="6">
        <f t="shared" si="3"/>
        <v>29550</v>
      </c>
      <c r="H71" t="str">
        <f t="shared" si="4"/>
        <v>M</v>
      </c>
      <c r="I71" t="s">
        <v>392</v>
      </c>
      <c r="J71" s="7" t="str">
        <f t="shared" ca="1" si="5"/>
        <v>692448046</v>
      </c>
      <c r="K71" s="7">
        <f t="array" ref="K71">MATCH(ConvertPolish2Latin(B71&amp;C71),Arkusz2!$A$2:$A$282&amp;Arkusz2!$B$2:$B$282,0)</f>
        <v>158</v>
      </c>
      <c r="L71" s="7" t="str">
        <f ca="1">IF(OR(ISERROR(OFFSET(Arkusz2!$A$1,K71,3)),OFFSET(Arkusz2!$A$1,K71,3)=0),"",OFFSET(Arkusz2!$A$1,K71,3))</f>
        <v>692448046</v>
      </c>
    </row>
    <row r="72" spans="1:12" x14ac:dyDescent="0.25">
      <c r="A72" s="1">
        <v>118</v>
      </c>
      <c r="B72" t="s">
        <v>75</v>
      </c>
      <c r="C72" t="s">
        <v>115</v>
      </c>
      <c r="D72">
        <v>85082600982</v>
      </c>
      <c r="E72" t="s">
        <v>7</v>
      </c>
      <c r="F72" t="s">
        <v>293</v>
      </c>
      <c r="G72" s="6">
        <f t="shared" si="3"/>
        <v>31285</v>
      </c>
      <c r="H72" t="str">
        <f t="shared" si="4"/>
        <v>F</v>
      </c>
      <c r="I72" t="s">
        <v>392</v>
      </c>
      <c r="J72" s="7" t="str">
        <f t="shared" ca="1" si="5"/>
        <v>608618793</v>
      </c>
      <c r="K72" s="7">
        <f t="array" ref="K72">MATCH(ConvertPolish2Latin(B72&amp;C72),Arkusz2!$A$2:$A$282&amp;Arkusz2!$B$2:$B$282,0)</f>
        <v>136</v>
      </c>
      <c r="L72" s="7" t="str">
        <f ca="1">IF(OR(ISERROR(OFFSET(Arkusz2!$A$1,K72,3)),OFFSET(Arkusz2!$A$1,K72,3)=0),"",OFFSET(Arkusz2!$A$1,K72,3))</f>
        <v>608618793</v>
      </c>
    </row>
    <row r="73" spans="1:12" x14ac:dyDescent="0.25">
      <c r="A73" s="1">
        <v>194</v>
      </c>
      <c r="B73" t="s">
        <v>67</v>
      </c>
      <c r="C73" t="s">
        <v>116</v>
      </c>
      <c r="D73">
        <v>83111803685</v>
      </c>
      <c r="E73" t="s">
        <v>7</v>
      </c>
      <c r="F73" t="s">
        <v>294</v>
      </c>
      <c r="G73" s="6">
        <f t="shared" si="3"/>
        <v>30638</v>
      </c>
      <c r="H73" t="str">
        <f t="shared" si="4"/>
        <v>F</v>
      </c>
      <c r="I73" t="s">
        <v>392</v>
      </c>
      <c r="J73" s="7" t="str">
        <f t="shared" ca="1" si="5"/>
        <v/>
      </c>
      <c r="K73" s="7" t="e">
        <f t="array" ref="K73">MATCH(ConvertPolish2Latin(B73&amp;C73),Arkusz2!$A$2:$A$282&amp;Arkusz2!$B$2:$B$282,0)</f>
        <v>#N/A</v>
      </c>
      <c r="L73" s="7" t="e">
        <f ca="1">IF(OR(ISERROR(OFFSET(Arkusz2!$A$1,K73,3)),OFFSET(Arkusz2!$A$1,K73,3)=0),"",OFFSET(Arkusz2!$A$1,K73,3))</f>
        <v>#N/A</v>
      </c>
    </row>
    <row r="74" spans="1:12" x14ac:dyDescent="0.25">
      <c r="A74" s="1">
        <v>27</v>
      </c>
      <c r="B74" t="s">
        <v>98</v>
      </c>
      <c r="C74" t="s">
        <v>20</v>
      </c>
      <c r="D74">
        <v>85073100602</v>
      </c>
      <c r="E74" t="s">
        <v>7</v>
      </c>
      <c r="F74" t="s">
        <v>295</v>
      </c>
      <c r="G74" s="6">
        <f t="shared" si="3"/>
        <v>31259</v>
      </c>
      <c r="H74" t="str">
        <f t="shared" si="4"/>
        <v>F</v>
      </c>
      <c r="I74" t="s">
        <v>392</v>
      </c>
      <c r="J74" s="7" t="str">
        <f t="shared" ca="1" si="5"/>
        <v>784019572</v>
      </c>
      <c r="K74" s="7">
        <f t="array" ref="K74">MATCH(ConvertPolish2Latin(B74&amp;C74),Arkusz2!$A$2:$A$282&amp;Arkusz2!$B$2:$B$282,0)</f>
        <v>32</v>
      </c>
      <c r="L74" s="7" t="str">
        <f ca="1">IF(OR(ISERROR(OFFSET(Arkusz2!$A$1,K74,3)),OFFSET(Arkusz2!$A$1,K74,3)=0),"",OFFSET(Arkusz2!$A$1,K74,3))</f>
        <v>784019572</v>
      </c>
    </row>
    <row r="75" spans="1:12" x14ac:dyDescent="0.25">
      <c r="A75" s="1">
        <v>661</v>
      </c>
      <c r="B75" t="s">
        <v>117</v>
      </c>
      <c r="C75" t="s">
        <v>118</v>
      </c>
      <c r="D75">
        <v>84042900296</v>
      </c>
      <c r="E75" t="s">
        <v>7</v>
      </c>
      <c r="F75" t="s">
        <v>296</v>
      </c>
      <c r="G75" s="6">
        <f t="shared" si="3"/>
        <v>30801</v>
      </c>
      <c r="H75" t="str">
        <f t="shared" si="4"/>
        <v>M</v>
      </c>
      <c r="I75" t="s">
        <v>392</v>
      </c>
      <c r="J75" s="7" t="str">
        <f t="shared" ca="1" si="5"/>
        <v/>
      </c>
      <c r="K75" s="7" t="e">
        <f t="array" ref="K75">MATCH(ConvertPolish2Latin(B75&amp;C75),Arkusz2!$A$2:$A$282&amp;Arkusz2!$B$2:$B$282,0)</f>
        <v>#N/A</v>
      </c>
      <c r="L75" s="7" t="e">
        <f ca="1">IF(OR(ISERROR(OFFSET(Arkusz2!$A$1,K75,3)),OFFSET(Arkusz2!$A$1,K75,3)=0),"",OFFSET(Arkusz2!$A$1,K75,3))</f>
        <v>#N/A</v>
      </c>
    </row>
    <row r="76" spans="1:12" x14ac:dyDescent="0.25">
      <c r="A76" s="1">
        <v>644</v>
      </c>
      <c r="B76" t="s">
        <v>10</v>
      </c>
      <c r="C76" t="s">
        <v>119</v>
      </c>
      <c r="D76">
        <v>77090202625</v>
      </c>
      <c r="E76" t="s">
        <v>7</v>
      </c>
      <c r="F76" t="s">
        <v>297</v>
      </c>
      <c r="G76" s="6">
        <f t="shared" si="3"/>
        <v>28370</v>
      </c>
      <c r="H76" t="str">
        <f t="shared" si="4"/>
        <v>F</v>
      </c>
      <c r="I76" t="s">
        <v>392</v>
      </c>
      <c r="J76" s="7" t="str">
        <f t="shared" ca="1" si="5"/>
        <v/>
      </c>
      <c r="K76" s="7" t="e">
        <f t="array" ref="K76">MATCH(ConvertPolish2Latin(B76&amp;C76),Arkusz2!$A$2:$A$282&amp;Arkusz2!$B$2:$B$282,0)</f>
        <v>#N/A</v>
      </c>
      <c r="L76" s="7" t="e">
        <f ca="1">IF(OR(ISERROR(OFFSET(Arkusz2!$A$1,K76,3)),OFFSET(Arkusz2!$A$1,K76,3)=0),"",OFFSET(Arkusz2!$A$1,K76,3))</f>
        <v>#N/A</v>
      </c>
    </row>
    <row r="77" spans="1:12" x14ac:dyDescent="0.25">
      <c r="A77" s="1">
        <v>48</v>
      </c>
      <c r="B77" t="s">
        <v>120</v>
      </c>
      <c r="C77" t="s">
        <v>121</v>
      </c>
      <c r="D77">
        <v>82062400831</v>
      </c>
      <c r="E77" t="s">
        <v>7</v>
      </c>
      <c r="F77" t="s">
        <v>298</v>
      </c>
      <c r="G77" s="6">
        <f t="shared" si="3"/>
        <v>30126</v>
      </c>
      <c r="H77" t="str">
        <f t="shared" si="4"/>
        <v>M</v>
      </c>
      <c r="I77" t="s">
        <v>392</v>
      </c>
      <c r="J77" s="7" t="str">
        <f t="shared" ca="1" si="5"/>
        <v>692420603</v>
      </c>
      <c r="K77" s="7">
        <f t="array" ref="K77">MATCH(ConvertPolish2Latin(B77&amp;C77),Arkusz2!$A$2:$A$282&amp;Arkusz2!$B$2:$B$282,0)</f>
        <v>222</v>
      </c>
      <c r="L77" s="7" t="str">
        <f ca="1">IF(OR(ISERROR(OFFSET(Arkusz2!$A$1,K77,3)),OFFSET(Arkusz2!$A$1,K77,3)=0),"",OFFSET(Arkusz2!$A$1,K77,3))</f>
        <v>692420603</v>
      </c>
    </row>
    <row r="78" spans="1:12" x14ac:dyDescent="0.25">
      <c r="A78" s="1">
        <v>219</v>
      </c>
      <c r="B78" t="s">
        <v>67</v>
      </c>
      <c r="C78" t="s">
        <v>122</v>
      </c>
      <c r="D78">
        <v>83012811460</v>
      </c>
      <c r="E78" t="s">
        <v>7</v>
      </c>
      <c r="F78" t="s">
        <v>299</v>
      </c>
      <c r="G78" s="6">
        <f t="shared" si="3"/>
        <v>30344</v>
      </c>
      <c r="H78" t="str">
        <f t="shared" si="4"/>
        <v>F</v>
      </c>
      <c r="I78" t="s">
        <v>392</v>
      </c>
      <c r="J78" s="7" t="str">
        <f t="shared" ca="1" si="5"/>
        <v>692431838</v>
      </c>
      <c r="K78" s="7">
        <f t="array" ref="K78">MATCH(ConvertPolish2Latin(B78&amp;C78),Arkusz2!$A$2:$A$282&amp;Arkusz2!$B$2:$B$282,0)</f>
        <v>225</v>
      </c>
      <c r="L78" s="7" t="str">
        <f ca="1">IF(OR(ISERROR(OFFSET(Arkusz2!$A$1,K78,3)),OFFSET(Arkusz2!$A$1,K78,3)=0),"",OFFSET(Arkusz2!$A$1,K78,3))</f>
        <v>692431838</v>
      </c>
    </row>
    <row r="79" spans="1:12" x14ac:dyDescent="0.25">
      <c r="A79" s="1">
        <v>6</v>
      </c>
      <c r="B79" t="s">
        <v>21</v>
      </c>
      <c r="C79" t="s">
        <v>123</v>
      </c>
      <c r="D79">
        <v>84051400392</v>
      </c>
      <c r="E79" t="s">
        <v>7</v>
      </c>
      <c r="F79" t="s">
        <v>300</v>
      </c>
      <c r="G79" s="6">
        <f t="shared" si="3"/>
        <v>30816</v>
      </c>
      <c r="H79" t="str">
        <f t="shared" si="4"/>
        <v>M</v>
      </c>
      <c r="I79" t="s">
        <v>392</v>
      </c>
      <c r="J79" s="7" t="str">
        <f t="shared" ca="1" si="5"/>
        <v>692445708</v>
      </c>
      <c r="K79" s="7">
        <f t="array" ref="K79">MATCH(ConvertPolish2Latin(B79&amp;C79),Arkusz2!$A$2:$A$282&amp;Arkusz2!$B$2:$B$282,0)</f>
        <v>95</v>
      </c>
      <c r="L79" s="7" t="str">
        <f ca="1">IF(OR(ISERROR(OFFSET(Arkusz2!$A$1,K79,3)),OFFSET(Arkusz2!$A$1,K79,3)=0),"",OFFSET(Arkusz2!$A$1,K79,3))</f>
        <v>692445708</v>
      </c>
    </row>
    <row r="80" spans="1:12" x14ac:dyDescent="0.25">
      <c r="A80" s="1">
        <v>152</v>
      </c>
      <c r="B80" t="s">
        <v>21</v>
      </c>
      <c r="C80" t="s">
        <v>124</v>
      </c>
      <c r="D80">
        <v>83110905678</v>
      </c>
      <c r="E80" t="s">
        <v>7</v>
      </c>
      <c r="F80" t="s">
        <v>301</v>
      </c>
      <c r="G80" s="6">
        <f t="shared" si="3"/>
        <v>30629</v>
      </c>
      <c r="H80" t="str">
        <f t="shared" si="4"/>
        <v>M</v>
      </c>
      <c r="I80" t="s">
        <v>392</v>
      </c>
      <c r="J80" s="7" t="str">
        <f t="shared" ca="1" si="5"/>
        <v>660775967</v>
      </c>
      <c r="K80" s="7">
        <f t="array" ref="K80">MATCH(ConvertPolish2Latin(B80&amp;C80),Arkusz2!$A$2:$A$282&amp;Arkusz2!$B$2:$B$282,0)</f>
        <v>86</v>
      </c>
      <c r="L80" s="7" t="str">
        <f ca="1">IF(OR(ISERROR(OFFSET(Arkusz2!$A$1,K80,3)),OFFSET(Arkusz2!$A$1,K80,3)=0),"",OFFSET(Arkusz2!$A$1,K80,3))</f>
        <v>660775967</v>
      </c>
    </row>
    <row r="81" spans="1:12" x14ac:dyDescent="0.25">
      <c r="A81" s="1">
        <v>164</v>
      </c>
      <c r="B81" t="s">
        <v>15</v>
      </c>
      <c r="C81" t="s">
        <v>43</v>
      </c>
      <c r="D81">
        <v>84060304438</v>
      </c>
      <c r="E81" t="s">
        <v>7</v>
      </c>
      <c r="F81" t="s">
        <v>302</v>
      </c>
      <c r="G81" s="6">
        <f t="shared" si="3"/>
        <v>30836</v>
      </c>
      <c r="H81" t="str">
        <f t="shared" si="4"/>
        <v>M</v>
      </c>
      <c r="I81" t="s">
        <v>392</v>
      </c>
      <c r="J81" s="7" t="str">
        <f t="shared" ca="1" si="5"/>
        <v>668464439</v>
      </c>
      <c r="K81" s="7">
        <f t="array" ref="K81">MATCH(ConvertPolish2Latin(B81&amp;C81),Arkusz2!$A$2:$A$282&amp;Arkusz2!$B$2:$B$282,0)</f>
        <v>258</v>
      </c>
      <c r="L81" s="7" t="str">
        <f ca="1">IF(OR(ISERROR(OFFSET(Arkusz2!$A$1,K81,3)),OFFSET(Arkusz2!$A$1,K81,3)=0),"",OFFSET(Arkusz2!$A$1,K81,3))</f>
        <v>668464439</v>
      </c>
    </row>
    <row r="82" spans="1:12" x14ac:dyDescent="0.25">
      <c r="A82" s="1">
        <v>82</v>
      </c>
      <c r="B82" t="s">
        <v>10</v>
      </c>
      <c r="C82" t="s">
        <v>125</v>
      </c>
      <c r="D82">
        <v>85012800880</v>
      </c>
      <c r="E82" t="s">
        <v>7</v>
      </c>
      <c r="F82" t="s">
        <v>303</v>
      </c>
      <c r="G82" s="6">
        <f t="shared" si="3"/>
        <v>31075</v>
      </c>
      <c r="H82" t="str">
        <f t="shared" si="4"/>
        <v>F</v>
      </c>
      <c r="I82" t="s">
        <v>392</v>
      </c>
      <c r="J82" s="7" t="str">
        <f t="shared" ca="1" si="5"/>
        <v>692423341</v>
      </c>
      <c r="K82" s="7">
        <f t="array" ref="K82">MATCH(ConvertPolish2Latin(B82&amp;C82),Arkusz2!$A$2:$A$282&amp;Arkusz2!$B$2:$B$282,0)</f>
        <v>190</v>
      </c>
      <c r="L82" s="7" t="str">
        <f ca="1">IF(OR(ISERROR(OFFSET(Arkusz2!$A$1,K82,3)),OFFSET(Arkusz2!$A$1,K82,3)=0),"",OFFSET(Arkusz2!$A$1,K82,3))</f>
        <v>692423341</v>
      </c>
    </row>
    <row r="83" spans="1:12" x14ac:dyDescent="0.25">
      <c r="A83" s="1">
        <v>144</v>
      </c>
      <c r="B83" t="s">
        <v>126</v>
      </c>
      <c r="C83" t="s">
        <v>66</v>
      </c>
      <c r="D83">
        <v>83102800673</v>
      </c>
      <c r="E83" t="s">
        <v>7</v>
      </c>
      <c r="F83" t="s">
        <v>304</v>
      </c>
      <c r="G83" s="6">
        <f t="shared" si="3"/>
        <v>30617</v>
      </c>
      <c r="H83" t="str">
        <f t="shared" si="4"/>
        <v>M</v>
      </c>
      <c r="I83" t="s">
        <v>392</v>
      </c>
      <c r="J83" s="7" t="str">
        <f t="shared" ca="1" si="5"/>
        <v>692439974</v>
      </c>
      <c r="K83" s="7">
        <f t="array" ref="K83">MATCH(ConvertPolish2Latin(B83&amp;C83),Arkusz2!$A$2:$A$282&amp;Arkusz2!$B$2:$B$282,0)</f>
        <v>93</v>
      </c>
      <c r="L83" s="7" t="str">
        <f ca="1">IF(OR(ISERROR(OFFSET(Arkusz2!$A$1,K83,3)),OFFSET(Arkusz2!$A$1,K83,3)=0),"",OFFSET(Arkusz2!$A$1,K83,3))</f>
        <v>692439974</v>
      </c>
    </row>
    <row r="84" spans="1:12" x14ac:dyDescent="0.25">
      <c r="A84" s="1">
        <v>695</v>
      </c>
      <c r="B84" t="s">
        <v>127</v>
      </c>
      <c r="C84" t="s">
        <v>128</v>
      </c>
      <c r="D84">
        <v>73112200352</v>
      </c>
      <c r="E84" t="s">
        <v>7</v>
      </c>
      <c r="F84" t="s">
        <v>305</v>
      </c>
      <c r="G84" s="6">
        <f t="shared" si="3"/>
        <v>26990</v>
      </c>
      <c r="H84" t="str">
        <f t="shared" si="4"/>
        <v>M</v>
      </c>
      <c r="I84" t="s">
        <v>392</v>
      </c>
      <c r="J84" s="7" t="str">
        <f t="shared" ca="1" si="5"/>
        <v/>
      </c>
      <c r="K84" s="7" t="e">
        <f t="array" ref="K84">MATCH(ConvertPolish2Latin(B84&amp;C84),Arkusz2!$A$2:$A$282&amp;Arkusz2!$B$2:$B$282,0)</f>
        <v>#N/A</v>
      </c>
      <c r="L84" s="7" t="e">
        <f ca="1">IF(OR(ISERROR(OFFSET(Arkusz2!$A$1,K84,3)),OFFSET(Arkusz2!$A$1,K84,3)=0),"",OFFSET(Arkusz2!$A$1,K84,3))</f>
        <v>#N/A</v>
      </c>
    </row>
    <row r="85" spans="1:12" x14ac:dyDescent="0.25">
      <c r="A85" s="1">
        <v>113</v>
      </c>
      <c r="B85" t="s">
        <v>129</v>
      </c>
      <c r="C85" t="s">
        <v>130</v>
      </c>
      <c r="D85">
        <v>79123000855</v>
      </c>
      <c r="E85" t="s">
        <v>7</v>
      </c>
      <c r="F85" t="s">
        <v>306</v>
      </c>
      <c r="G85" s="6">
        <f t="shared" si="3"/>
        <v>29219</v>
      </c>
      <c r="H85" t="str">
        <f t="shared" si="4"/>
        <v>M</v>
      </c>
      <c r="I85" t="s">
        <v>392</v>
      </c>
      <c r="J85" s="7" t="str">
        <f t="shared" ca="1" si="5"/>
        <v/>
      </c>
      <c r="K85" s="7" t="e">
        <f t="array" ref="K85">MATCH(ConvertPolish2Latin(B85&amp;C85),Arkusz2!$A$2:$A$282&amp;Arkusz2!$B$2:$B$282,0)</f>
        <v>#N/A</v>
      </c>
      <c r="L85" s="7" t="e">
        <f ca="1">IF(OR(ISERROR(OFFSET(Arkusz2!$A$1,K85,3)),OFFSET(Arkusz2!$A$1,K85,3)=0),"",OFFSET(Arkusz2!$A$1,K85,3))</f>
        <v>#N/A</v>
      </c>
    </row>
    <row r="86" spans="1:12" x14ac:dyDescent="0.25">
      <c r="A86" s="1">
        <v>126</v>
      </c>
      <c r="B86" t="s">
        <v>98</v>
      </c>
      <c r="C86" t="s">
        <v>131</v>
      </c>
      <c r="D86">
        <v>85031811207</v>
      </c>
      <c r="E86" t="s">
        <v>7</v>
      </c>
      <c r="F86" t="s">
        <v>307</v>
      </c>
      <c r="G86" s="6">
        <f t="shared" si="3"/>
        <v>31124</v>
      </c>
      <c r="H86" t="str">
        <f t="shared" si="4"/>
        <v>F</v>
      </c>
      <c r="I86" t="s">
        <v>392</v>
      </c>
      <c r="J86" s="7" t="str">
        <f t="shared" ca="1" si="5"/>
        <v/>
      </c>
      <c r="K86" s="7" t="e">
        <f t="array" ref="K86">MATCH(ConvertPolish2Latin(B86&amp;C86),Arkusz2!$A$2:$A$282&amp;Arkusz2!$B$2:$B$282,0)</f>
        <v>#N/A</v>
      </c>
      <c r="L86" s="7" t="e">
        <f ca="1">IF(OR(ISERROR(OFFSET(Arkusz2!$A$1,K86,3)),OFFSET(Arkusz2!$A$1,K86,3)=0),"",OFFSET(Arkusz2!$A$1,K86,3))</f>
        <v>#N/A</v>
      </c>
    </row>
    <row r="87" spans="1:12" x14ac:dyDescent="0.25">
      <c r="A87" s="1">
        <v>154</v>
      </c>
      <c r="B87" t="s">
        <v>88</v>
      </c>
      <c r="C87" t="s">
        <v>132</v>
      </c>
      <c r="D87">
        <v>85102300412</v>
      </c>
      <c r="E87" t="s">
        <v>7</v>
      </c>
      <c r="F87" t="s">
        <v>308</v>
      </c>
      <c r="G87" s="6">
        <f t="shared" si="3"/>
        <v>31343</v>
      </c>
      <c r="H87" t="str">
        <f t="shared" si="4"/>
        <v>M</v>
      </c>
      <c r="I87" t="s">
        <v>392</v>
      </c>
      <c r="J87" s="7" t="str">
        <f t="shared" ca="1" si="5"/>
        <v>660776435</v>
      </c>
      <c r="K87" s="7">
        <f t="array" ref="K87">MATCH(ConvertPolish2Latin(B87&amp;C87),Arkusz2!$A$2:$A$282&amp;Arkusz2!$B$2:$B$282,0)</f>
        <v>42</v>
      </c>
      <c r="L87" s="7" t="str">
        <f ca="1">IF(OR(ISERROR(OFFSET(Arkusz2!$A$1,K87,3)),OFFSET(Arkusz2!$A$1,K87,3)=0),"",OFFSET(Arkusz2!$A$1,K87,3))</f>
        <v>660776435</v>
      </c>
    </row>
    <row r="88" spans="1:12" x14ac:dyDescent="0.25">
      <c r="A88" s="1">
        <v>16</v>
      </c>
      <c r="B88" t="s">
        <v>63</v>
      </c>
      <c r="C88" t="s">
        <v>133</v>
      </c>
      <c r="D88">
        <v>83122405627</v>
      </c>
      <c r="E88" t="s">
        <v>7</v>
      </c>
      <c r="F88" t="s">
        <v>309</v>
      </c>
      <c r="G88" s="6">
        <f t="shared" si="3"/>
        <v>30674</v>
      </c>
      <c r="H88" t="str">
        <f t="shared" si="4"/>
        <v>F</v>
      </c>
      <c r="I88" t="s">
        <v>392</v>
      </c>
      <c r="J88" s="7" t="str">
        <f t="shared" ca="1" si="5"/>
        <v>664192120</v>
      </c>
      <c r="K88" s="7">
        <f t="array" ref="K88">MATCH(ConvertPolish2Latin(B88&amp;C88),Arkusz2!$A$2:$A$282&amp;Arkusz2!$B$2:$B$282,0)</f>
        <v>138</v>
      </c>
      <c r="L88" s="7" t="str">
        <f ca="1">IF(OR(ISERROR(OFFSET(Arkusz2!$A$1,K88,3)),OFFSET(Arkusz2!$A$1,K88,3)=0),"",OFFSET(Arkusz2!$A$1,K88,3))</f>
        <v>664192120</v>
      </c>
    </row>
    <row r="89" spans="1:12" x14ac:dyDescent="0.25">
      <c r="A89" s="1">
        <v>102</v>
      </c>
      <c r="B89" t="s">
        <v>23</v>
      </c>
      <c r="C89" t="s">
        <v>134</v>
      </c>
      <c r="D89">
        <v>83062205563</v>
      </c>
      <c r="E89" t="s">
        <v>7</v>
      </c>
      <c r="F89" t="s">
        <v>310</v>
      </c>
      <c r="G89" s="6">
        <f t="shared" si="3"/>
        <v>30489</v>
      </c>
      <c r="H89" t="str">
        <f t="shared" si="4"/>
        <v>F</v>
      </c>
      <c r="I89" t="s">
        <v>392</v>
      </c>
      <c r="J89" s="7" t="str">
        <f t="shared" ca="1" si="5"/>
        <v>660775451</v>
      </c>
      <c r="K89" s="7">
        <f t="array" ref="K89">MATCH(ConvertPolish2Latin(B89&amp;C89),Arkusz2!$A$2:$A$282&amp;Arkusz2!$B$2:$B$282,0)</f>
        <v>150</v>
      </c>
      <c r="L89" s="7" t="str">
        <f ca="1">IF(OR(ISERROR(OFFSET(Arkusz2!$A$1,K89,3)),OFFSET(Arkusz2!$A$1,K89,3)=0),"",OFFSET(Arkusz2!$A$1,K89,3))</f>
        <v>660775451</v>
      </c>
    </row>
    <row r="90" spans="1:12" x14ac:dyDescent="0.25">
      <c r="A90" s="1">
        <v>210</v>
      </c>
      <c r="B90" t="s">
        <v>23</v>
      </c>
      <c r="C90" t="s">
        <v>135</v>
      </c>
      <c r="D90">
        <v>85081911285</v>
      </c>
      <c r="E90" t="s">
        <v>7</v>
      </c>
      <c r="F90" t="s">
        <v>311</v>
      </c>
      <c r="G90" s="6">
        <f t="shared" si="3"/>
        <v>31278</v>
      </c>
      <c r="H90" t="str">
        <f t="shared" si="4"/>
        <v>F</v>
      </c>
      <c r="I90" t="s">
        <v>392</v>
      </c>
      <c r="J90" s="7" t="str">
        <f t="shared" ca="1" si="5"/>
        <v>660776274</v>
      </c>
      <c r="K90" s="7">
        <f t="array" ref="K90">MATCH(ConvertPolish2Latin(B90&amp;C90),Arkusz2!$A$2:$A$282&amp;Arkusz2!$B$2:$B$282,0)</f>
        <v>27</v>
      </c>
      <c r="L90" s="7" t="str">
        <f ca="1">IF(OR(ISERROR(OFFSET(Arkusz2!$A$1,K90,3)),OFFSET(Arkusz2!$A$1,K90,3)=0),"",OFFSET(Arkusz2!$A$1,K90,3))</f>
        <v>660776274</v>
      </c>
    </row>
    <row r="91" spans="1:12" x14ac:dyDescent="0.25">
      <c r="A91" s="1">
        <v>26</v>
      </c>
      <c r="B91" t="s">
        <v>98</v>
      </c>
      <c r="C91" t="s">
        <v>136</v>
      </c>
      <c r="D91">
        <v>85083105844</v>
      </c>
      <c r="E91" t="s">
        <v>7</v>
      </c>
      <c r="F91" t="s">
        <v>312</v>
      </c>
      <c r="G91" s="6">
        <f t="shared" si="3"/>
        <v>31290</v>
      </c>
      <c r="H91" t="str">
        <f t="shared" si="4"/>
        <v>F</v>
      </c>
      <c r="I91" t="s">
        <v>392</v>
      </c>
      <c r="J91" s="7" t="str">
        <f t="shared" ca="1" si="5"/>
        <v>692415782</v>
      </c>
      <c r="K91" s="7">
        <f t="array" ref="K91">MATCH(ConvertPolish2Latin(B91&amp;C91),Arkusz2!$A$2:$A$282&amp;Arkusz2!$B$2:$B$282,0)</f>
        <v>215</v>
      </c>
      <c r="L91" s="7" t="str">
        <f ca="1">IF(OR(ISERROR(OFFSET(Arkusz2!$A$1,K91,3)),OFFSET(Arkusz2!$A$1,K91,3)=0),"",OFFSET(Arkusz2!$A$1,K91,3))</f>
        <v>692415782</v>
      </c>
    </row>
    <row r="92" spans="1:12" x14ac:dyDescent="0.25">
      <c r="A92" s="1">
        <v>147</v>
      </c>
      <c r="B92" t="s">
        <v>137</v>
      </c>
      <c r="C92" t="s">
        <v>138</v>
      </c>
      <c r="D92">
        <v>80042402240</v>
      </c>
      <c r="E92" t="s">
        <v>7</v>
      </c>
      <c r="F92" t="s">
        <v>313</v>
      </c>
      <c r="G92" s="6">
        <f t="shared" si="3"/>
        <v>29335</v>
      </c>
      <c r="H92" t="str">
        <f t="shared" si="4"/>
        <v>F</v>
      </c>
      <c r="I92" t="s">
        <v>392</v>
      </c>
      <c r="J92" s="7" t="str">
        <f t="shared" ca="1" si="5"/>
        <v>602271600</v>
      </c>
      <c r="K92" s="7">
        <f t="array" ref="K92">MATCH(ConvertPolish2Latin(B92&amp;C92),Arkusz2!$A$2:$A$282&amp;Arkusz2!$B$2:$B$282,0)</f>
        <v>141</v>
      </c>
      <c r="L92" s="7" t="str">
        <f ca="1">IF(OR(ISERROR(OFFSET(Arkusz2!$A$1,K92,3)),OFFSET(Arkusz2!$A$1,K92,3)=0),"",OFFSET(Arkusz2!$A$1,K92,3))</f>
        <v>602271600</v>
      </c>
    </row>
    <row r="93" spans="1:12" x14ac:dyDescent="0.25">
      <c r="A93" s="1">
        <v>90</v>
      </c>
      <c r="B93" t="s">
        <v>139</v>
      </c>
      <c r="C93" t="s">
        <v>140</v>
      </c>
      <c r="D93">
        <v>87090201968</v>
      </c>
      <c r="E93" t="s">
        <v>7</v>
      </c>
      <c r="F93" t="s">
        <v>314</v>
      </c>
      <c r="G93" s="6">
        <f t="shared" si="3"/>
        <v>32022</v>
      </c>
      <c r="H93" t="str">
        <f t="shared" si="4"/>
        <v>F</v>
      </c>
      <c r="I93" t="s">
        <v>392</v>
      </c>
      <c r="J93" s="7" t="str">
        <f t="shared" ca="1" si="5"/>
        <v/>
      </c>
      <c r="K93" s="7">
        <f t="array" ref="K93">MATCH(ConvertPolish2Latin(B93&amp;C93),Arkusz2!$A$2:$A$282&amp;Arkusz2!$B$2:$B$282,0)</f>
        <v>241</v>
      </c>
      <c r="L93" s="7" t="str">
        <f ca="1">IF(OR(ISERROR(OFFSET(Arkusz2!$A$1,K93,3)),OFFSET(Arkusz2!$A$1,K93,3)=0),"",OFFSET(Arkusz2!$A$1,K93,3))</f>
        <v/>
      </c>
    </row>
    <row r="94" spans="1:12" x14ac:dyDescent="0.25">
      <c r="A94" s="1">
        <v>171</v>
      </c>
      <c r="B94" t="s">
        <v>141</v>
      </c>
      <c r="C94" t="s">
        <v>142</v>
      </c>
      <c r="D94">
        <v>85121801039</v>
      </c>
      <c r="E94" t="s">
        <v>7</v>
      </c>
      <c r="F94" t="s">
        <v>315</v>
      </c>
      <c r="G94" s="6">
        <f t="shared" si="3"/>
        <v>31399</v>
      </c>
      <c r="H94" t="str">
        <f t="shared" si="4"/>
        <v>M</v>
      </c>
      <c r="I94" t="s">
        <v>392</v>
      </c>
      <c r="J94" s="7" t="str">
        <f t="shared" ca="1" si="5"/>
        <v>664164822</v>
      </c>
      <c r="K94" s="7">
        <f t="array" ref="K94">MATCH(ConvertPolish2Latin(B94&amp;C94),Arkusz2!$A$2:$A$282&amp;Arkusz2!$B$2:$B$282,0)</f>
        <v>109</v>
      </c>
      <c r="L94" s="7" t="str">
        <f ca="1">IF(OR(ISERROR(OFFSET(Arkusz2!$A$1,K94,3)),OFFSET(Arkusz2!$A$1,K94,3)=0),"",OFFSET(Arkusz2!$A$1,K94,3))</f>
        <v>664164822</v>
      </c>
    </row>
    <row r="95" spans="1:12" x14ac:dyDescent="0.25">
      <c r="A95" s="1">
        <v>131</v>
      </c>
      <c r="B95" t="s">
        <v>143</v>
      </c>
      <c r="C95" t="s">
        <v>144</v>
      </c>
      <c r="D95">
        <v>86021403457</v>
      </c>
      <c r="E95" t="s">
        <v>7</v>
      </c>
      <c r="F95" t="s">
        <v>316</v>
      </c>
      <c r="G95" s="6">
        <f t="shared" si="3"/>
        <v>31457</v>
      </c>
      <c r="H95" t="str">
        <f t="shared" si="4"/>
        <v>M</v>
      </c>
      <c r="I95" t="s">
        <v>392</v>
      </c>
      <c r="J95" s="7" t="str">
        <f t="shared" ca="1" si="5"/>
        <v>606201366</v>
      </c>
      <c r="K95" s="7">
        <f t="array" ref="K95">MATCH(ConvertPolish2Latin(B95&amp;C95),Arkusz2!$A$2:$A$282&amp;Arkusz2!$B$2:$B$282,0)</f>
        <v>268</v>
      </c>
      <c r="L95" s="7" t="str">
        <f ca="1">IF(OR(ISERROR(OFFSET(Arkusz2!$A$1,K95,3)),OFFSET(Arkusz2!$A$1,K95,3)=0),"",OFFSET(Arkusz2!$A$1,K95,3))</f>
        <v>606201366</v>
      </c>
    </row>
    <row r="96" spans="1:12" x14ac:dyDescent="0.25">
      <c r="A96" s="1">
        <v>100</v>
      </c>
      <c r="B96" t="s">
        <v>145</v>
      </c>
      <c r="C96" t="s">
        <v>146</v>
      </c>
      <c r="D96">
        <v>85081312741</v>
      </c>
      <c r="E96" t="s">
        <v>7</v>
      </c>
      <c r="F96" t="s">
        <v>317</v>
      </c>
      <c r="G96" s="6">
        <f t="shared" si="3"/>
        <v>31272</v>
      </c>
      <c r="H96" t="str">
        <f t="shared" si="4"/>
        <v>F</v>
      </c>
      <c r="I96" t="s">
        <v>392</v>
      </c>
      <c r="J96" s="7" t="str">
        <f t="shared" ca="1" si="5"/>
        <v>692450296</v>
      </c>
      <c r="K96" s="7">
        <f t="array" ref="K96">MATCH(ConvertPolish2Latin(B96&amp;C96),Arkusz2!$A$2:$A$282&amp;Arkusz2!$B$2:$B$282,0)</f>
        <v>103</v>
      </c>
      <c r="L96" s="7" t="str">
        <f ca="1">IF(OR(ISERROR(OFFSET(Arkusz2!$A$1,K96,3)),OFFSET(Arkusz2!$A$1,K96,3)=0),"",OFFSET(Arkusz2!$A$1,K96,3))</f>
        <v>692450296</v>
      </c>
    </row>
    <row r="97" spans="1:12" x14ac:dyDescent="0.25">
      <c r="A97" s="1">
        <v>43</v>
      </c>
      <c r="B97" t="s">
        <v>23</v>
      </c>
      <c r="C97" t="s">
        <v>147</v>
      </c>
      <c r="D97">
        <v>78082600922</v>
      </c>
      <c r="E97" t="s">
        <v>7</v>
      </c>
      <c r="F97" t="s">
        <v>318</v>
      </c>
      <c r="G97" s="6">
        <f t="shared" si="3"/>
        <v>28728</v>
      </c>
      <c r="H97" t="str">
        <f t="shared" si="4"/>
        <v>F</v>
      </c>
      <c r="I97" t="s">
        <v>392</v>
      </c>
      <c r="J97" s="7" t="str">
        <f t="shared" ca="1" si="5"/>
        <v>795135572</v>
      </c>
      <c r="K97" s="7">
        <f t="array" ref="K97">MATCH(ConvertPolish2Latin(B97&amp;C97),Arkusz2!$A$2:$A$282&amp;Arkusz2!$B$2:$B$282,0)</f>
        <v>125</v>
      </c>
      <c r="L97" s="7" t="str">
        <f ca="1">IF(OR(ISERROR(OFFSET(Arkusz2!$A$1,K97,3)),OFFSET(Arkusz2!$A$1,K97,3)=0),"",OFFSET(Arkusz2!$A$1,K97,3))</f>
        <v>795135572</v>
      </c>
    </row>
    <row r="98" spans="1:12" x14ac:dyDescent="0.25">
      <c r="A98" s="1">
        <v>1011</v>
      </c>
      <c r="B98" t="s">
        <v>23</v>
      </c>
      <c r="C98" t="s">
        <v>147</v>
      </c>
      <c r="D98">
        <v>78082600922</v>
      </c>
      <c r="E98" t="s">
        <v>7</v>
      </c>
      <c r="F98" t="s">
        <v>318</v>
      </c>
      <c r="G98" s="6">
        <f t="shared" si="3"/>
        <v>28728</v>
      </c>
      <c r="H98" t="str">
        <f t="shared" si="4"/>
        <v>F</v>
      </c>
      <c r="I98" t="s">
        <v>392</v>
      </c>
      <c r="J98" s="7" t="str">
        <f t="shared" ca="1" si="5"/>
        <v>795135572</v>
      </c>
      <c r="K98" s="7">
        <f t="array" ref="K98">MATCH(ConvertPolish2Latin(B98&amp;C98),Arkusz2!$A$2:$A$282&amp;Arkusz2!$B$2:$B$282,0)</f>
        <v>125</v>
      </c>
      <c r="L98" s="7" t="str">
        <f ca="1">IF(OR(ISERROR(OFFSET(Arkusz2!$A$1,K98,3)),OFFSET(Arkusz2!$A$1,K98,3)=0),"",OFFSET(Arkusz2!$A$1,K98,3))</f>
        <v>795135572</v>
      </c>
    </row>
    <row r="99" spans="1:12" x14ac:dyDescent="0.25">
      <c r="A99" s="1">
        <v>10</v>
      </c>
      <c r="B99" t="s">
        <v>13</v>
      </c>
      <c r="C99" t="s">
        <v>148</v>
      </c>
      <c r="D99">
        <v>82042003513</v>
      </c>
      <c r="E99" t="s">
        <v>7</v>
      </c>
      <c r="F99" t="s">
        <v>319</v>
      </c>
      <c r="G99" s="6">
        <f t="shared" si="3"/>
        <v>30061</v>
      </c>
      <c r="H99" t="str">
        <f t="shared" si="4"/>
        <v>M</v>
      </c>
      <c r="I99" t="s">
        <v>392</v>
      </c>
      <c r="J99" s="7" t="str">
        <f t="shared" ca="1" si="5"/>
        <v>795135568</v>
      </c>
      <c r="K99" s="7">
        <f t="array" ref="K99">MATCH(ConvertPolish2Latin(B99&amp;C99),Arkusz2!$A$2:$A$282&amp;Arkusz2!$B$2:$B$282,0)</f>
        <v>172</v>
      </c>
      <c r="L99" s="7" t="str">
        <f ca="1">IF(OR(ISERROR(OFFSET(Arkusz2!$A$1,K99,3)),OFFSET(Arkusz2!$A$1,K99,3)=0),"",OFFSET(Arkusz2!$A$1,K99,3))</f>
        <v>795135568</v>
      </c>
    </row>
    <row r="100" spans="1:12" x14ac:dyDescent="0.25">
      <c r="A100" s="1">
        <v>212</v>
      </c>
      <c r="B100" t="s">
        <v>149</v>
      </c>
      <c r="C100" t="s">
        <v>150</v>
      </c>
      <c r="D100">
        <v>84081600054</v>
      </c>
      <c r="E100" t="s">
        <v>7</v>
      </c>
      <c r="F100" t="s">
        <v>320</v>
      </c>
      <c r="G100" s="6">
        <f t="shared" si="3"/>
        <v>30910</v>
      </c>
      <c r="H100" t="str">
        <f t="shared" si="4"/>
        <v>M</v>
      </c>
      <c r="I100" t="s">
        <v>392</v>
      </c>
      <c r="J100" s="7" t="str">
        <f t="shared" ca="1" si="5"/>
        <v>660776182</v>
      </c>
      <c r="K100" s="7">
        <f t="array" ref="K100">MATCH(ConvertPolish2Latin(B100&amp;C100),Arkusz2!$A$2:$A$282&amp;Arkusz2!$B$2:$B$282,0)</f>
        <v>80</v>
      </c>
      <c r="L100" s="7" t="str">
        <f ca="1">IF(OR(ISERROR(OFFSET(Arkusz2!$A$1,K100,3)),OFFSET(Arkusz2!$A$1,K100,3)=0),"",OFFSET(Arkusz2!$A$1,K100,3))</f>
        <v>660776182</v>
      </c>
    </row>
    <row r="101" spans="1:12" x14ac:dyDescent="0.25">
      <c r="A101" s="1">
        <v>101</v>
      </c>
      <c r="B101" t="s">
        <v>137</v>
      </c>
      <c r="C101" t="s">
        <v>151</v>
      </c>
      <c r="D101">
        <v>85022000243</v>
      </c>
      <c r="E101" t="s">
        <v>7</v>
      </c>
      <c r="F101" t="s">
        <v>321</v>
      </c>
      <c r="G101" s="6">
        <f t="shared" si="3"/>
        <v>31098</v>
      </c>
      <c r="H101" t="str">
        <f t="shared" si="4"/>
        <v>F</v>
      </c>
      <c r="I101" t="s">
        <v>392</v>
      </c>
      <c r="J101" s="7" t="str">
        <f t="shared" ca="1" si="5"/>
        <v/>
      </c>
      <c r="K101" s="7" t="e">
        <f t="array" ref="K101">MATCH(ConvertPolish2Latin(B101&amp;C101),Arkusz2!$A$2:$A$282&amp;Arkusz2!$B$2:$B$282,0)</f>
        <v>#N/A</v>
      </c>
      <c r="L101" s="7" t="e">
        <f ca="1">IF(OR(ISERROR(OFFSET(Arkusz2!$A$1,K101,3)),OFFSET(Arkusz2!$A$1,K101,3)=0),"",OFFSET(Arkusz2!$A$1,K101,3))</f>
        <v>#N/A</v>
      </c>
    </row>
    <row r="102" spans="1:12" x14ac:dyDescent="0.25">
      <c r="A102" s="1">
        <v>117</v>
      </c>
      <c r="B102" t="s">
        <v>23</v>
      </c>
      <c r="C102" t="s">
        <v>152</v>
      </c>
      <c r="D102">
        <v>85123004607</v>
      </c>
      <c r="E102" t="s">
        <v>7</v>
      </c>
      <c r="F102" t="s">
        <v>322</v>
      </c>
      <c r="G102" s="6">
        <f t="shared" si="3"/>
        <v>31411</v>
      </c>
      <c r="H102" t="str">
        <f t="shared" si="4"/>
        <v>F</v>
      </c>
      <c r="I102" t="s">
        <v>392</v>
      </c>
      <c r="J102" s="7" t="str">
        <f t="shared" ca="1" si="5"/>
        <v>784940169</v>
      </c>
      <c r="K102" s="7">
        <f t="array" ref="K102">MATCH(ConvertPolish2Latin(B102&amp;C102),Arkusz2!$A$2:$A$282&amp;Arkusz2!$B$2:$B$282,0)</f>
        <v>90</v>
      </c>
      <c r="L102" s="7" t="str">
        <f ca="1">IF(OR(ISERROR(OFFSET(Arkusz2!$A$1,K102,3)),OFFSET(Arkusz2!$A$1,K102,3)=0),"",OFFSET(Arkusz2!$A$1,K102,3))</f>
        <v>784940169</v>
      </c>
    </row>
    <row r="103" spans="1:12" x14ac:dyDescent="0.25">
      <c r="A103" s="1">
        <v>232</v>
      </c>
      <c r="B103" t="s">
        <v>153</v>
      </c>
      <c r="C103" t="s">
        <v>154</v>
      </c>
      <c r="D103">
        <v>86072807644</v>
      </c>
      <c r="E103" t="s">
        <v>99</v>
      </c>
      <c r="F103" t="s">
        <v>323</v>
      </c>
      <c r="G103" s="6">
        <f t="shared" si="3"/>
        <v>31621</v>
      </c>
      <c r="H103" t="str">
        <f t="shared" si="4"/>
        <v>F</v>
      </c>
      <c r="I103" t="s">
        <v>392</v>
      </c>
      <c r="J103" s="7" t="str">
        <f t="shared" ca="1" si="5"/>
        <v/>
      </c>
      <c r="K103" s="7">
        <f t="array" ref="K103">MATCH(ConvertPolish2Latin(B103&amp;C103),Arkusz2!$A$2:$A$282&amp;Arkusz2!$B$2:$B$282,0)</f>
        <v>102</v>
      </c>
      <c r="L103" s="7" t="str">
        <f ca="1">IF(OR(ISERROR(OFFSET(Arkusz2!$A$1,K103,3)),OFFSET(Arkusz2!$A$1,K103,3)=0),"",OFFSET(Arkusz2!$A$1,K103,3))</f>
        <v/>
      </c>
    </row>
    <row r="104" spans="1:12" x14ac:dyDescent="0.25">
      <c r="A104" s="1">
        <v>193</v>
      </c>
      <c r="B104" t="s">
        <v>33</v>
      </c>
      <c r="C104" t="s">
        <v>155</v>
      </c>
      <c r="D104">
        <v>85062002263</v>
      </c>
      <c r="E104" t="s">
        <v>7</v>
      </c>
      <c r="F104" t="s">
        <v>324</v>
      </c>
      <c r="G104" s="6">
        <f t="shared" si="3"/>
        <v>31218</v>
      </c>
      <c r="H104" t="str">
        <f t="shared" si="4"/>
        <v>F</v>
      </c>
      <c r="I104" t="s">
        <v>392</v>
      </c>
      <c r="J104" s="7" t="str">
        <f t="shared" ca="1" si="5"/>
        <v>664192140</v>
      </c>
      <c r="K104" s="7">
        <f t="array" ref="K104">MATCH(ConvertPolish2Latin(B104&amp;C104),Arkusz2!$A$2:$A$282&amp;Arkusz2!$B$2:$B$282,0)</f>
        <v>144</v>
      </c>
      <c r="L104" s="7" t="str">
        <f ca="1">IF(OR(ISERROR(OFFSET(Arkusz2!$A$1,K104,3)),OFFSET(Arkusz2!$A$1,K104,3)=0),"",OFFSET(Arkusz2!$A$1,K104,3))</f>
        <v>664192140</v>
      </c>
    </row>
    <row r="105" spans="1:12" x14ac:dyDescent="0.25">
      <c r="A105" s="1">
        <v>77</v>
      </c>
      <c r="B105" t="s">
        <v>156</v>
      </c>
      <c r="C105" t="s">
        <v>157</v>
      </c>
      <c r="D105">
        <v>84050603307</v>
      </c>
      <c r="E105" t="s">
        <v>7</v>
      </c>
      <c r="F105" t="s">
        <v>325</v>
      </c>
      <c r="G105" s="6">
        <f t="shared" si="3"/>
        <v>30808</v>
      </c>
      <c r="H105" t="str">
        <f t="shared" si="4"/>
        <v>F</v>
      </c>
      <c r="I105" t="s">
        <v>392</v>
      </c>
      <c r="J105" s="7" t="str">
        <f t="shared" ca="1" si="5"/>
        <v>795135569</v>
      </c>
      <c r="K105" s="7">
        <f t="array" ref="K105">MATCH(ConvertPolish2Latin(B105&amp;C105),Arkusz2!$A$2:$A$282&amp;Arkusz2!$B$2:$B$282,0)</f>
        <v>188</v>
      </c>
      <c r="L105" s="7" t="str">
        <f ca="1">IF(OR(ISERROR(OFFSET(Arkusz2!$A$1,K105,3)),OFFSET(Arkusz2!$A$1,K105,3)=0),"",OFFSET(Arkusz2!$A$1,K105,3))</f>
        <v>795135569</v>
      </c>
    </row>
    <row r="106" spans="1:12" x14ac:dyDescent="0.25">
      <c r="A106" s="1">
        <v>30</v>
      </c>
      <c r="B106" t="s">
        <v>158</v>
      </c>
      <c r="C106" t="s">
        <v>159</v>
      </c>
      <c r="D106">
        <v>85060105159</v>
      </c>
      <c r="E106" t="s">
        <v>7</v>
      </c>
      <c r="F106" t="s">
        <v>326</v>
      </c>
      <c r="G106" s="6">
        <f t="shared" si="3"/>
        <v>31199</v>
      </c>
      <c r="H106" t="str">
        <f t="shared" si="4"/>
        <v>M</v>
      </c>
      <c r="I106" t="s">
        <v>392</v>
      </c>
      <c r="J106" s="7" t="str">
        <f t="shared" ca="1" si="5"/>
        <v>784964412</v>
      </c>
      <c r="K106" s="7">
        <f t="array" ref="K106">MATCH(ConvertPolish2Latin(B106&amp;C106),Arkusz2!$A$2:$A$282&amp;Arkusz2!$B$2:$B$282,0)</f>
        <v>111</v>
      </c>
      <c r="L106" s="7" t="str">
        <f ca="1">IF(OR(ISERROR(OFFSET(Arkusz2!$A$1,K106,3)),OFFSET(Arkusz2!$A$1,K106,3)=0),"",OFFSET(Arkusz2!$A$1,K106,3))</f>
        <v>784964412</v>
      </c>
    </row>
    <row r="107" spans="1:12" x14ac:dyDescent="0.25">
      <c r="A107" s="1">
        <v>11</v>
      </c>
      <c r="B107" t="s">
        <v>137</v>
      </c>
      <c r="C107" t="s">
        <v>160</v>
      </c>
      <c r="D107">
        <v>86031401906</v>
      </c>
      <c r="E107" t="s">
        <v>7</v>
      </c>
      <c r="F107" t="s">
        <v>327</v>
      </c>
      <c r="G107" s="6">
        <f t="shared" si="3"/>
        <v>31485</v>
      </c>
      <c r="H107" t="str">
        <f t="shared" si="4"/>
        <v>F</v>
      </c>
      <c r="I107" t="s">
        <v>392</v>
      </c>
      <c r="J107" s="7" t="str">
        <f t="shared" ca="1" si="5"/>
        <v>784020170</v>
      </c>
      <c r="K107" s="7">
        <f t="array" ref="K107">MATCH(ConvertPolish2Latin(B107&amp;C107),Arkusz2!$A$2:$A$282&amp;Arkusz2!$B$2:$B$282,0)</f>
        <v>256</v>
      </c>
      <c r="L107" s="7" t="str">
        <f ca="1">IF(OR(ISERROR(OFFSET(Arkusz2!$A$1,K107,3)),OFFSET(Arkusz2!$A$1,K107,3)=0),"",OFFSET(Arkusz2!$A$1,K107,3))</f>
        <v>784020170</v>
      </c>
    </row>
    <row r="108" spans="1:12" x14ac:dyDescent="0.25">
      <c r="A108" s="1">
        <v>216</v>
      </c>
      <c r="B108" t="s">
        <v>51</v>
      </c>
      <c r="C108" t="s">
        <v>161</v>
      </c>
      <c r="D108">
        <v>86090500138</v>
      </c>
      <c r="E108" t="s">
        <v>7</v>
      </c>
      <c r="F108" t="s">
        <v>328</v>
      </c>
      <c r="G108" s="6">
        <f t="shared" si="3"/>
        <v>31660</v>
      </c>
      <c r="H108" t="str">
        <f t="shared" si="4"/>
        <v>M</v>
      </c>
      <c r="I108" t="s">
        <v>392</v>
      </c>
      <c r="J108" s="7" t="str">
        <f t="shared" ca="1" si="5"/>
        <v>606444824</v>
      </c>
      <c r="K108" s="7">
        <f t="array" ref="K108">MATCH(ConvertPolish2Latin(B108&amp;C108),Arkusz2!$A$2:$A$282&amp;Arkusz2!$B$2:$B$282,0)</f>
        <v>189</v>
      </c>
      <c r="L108" s="7" t="str">
        <f ca="1">IF(OR(ISERROR(OFFSET(Arkusz2!$A$1,K108,3)),OFFSET(Arkusz2!$A$1,K108,3)=0),"",OFFSET(Arkusz2!$A$1,K108,3))</f>
        <v>606444824</v>
      </c>
    </row>
    <row r="109" spans="1:12" x14ac:dyDescent="0.25">
      <c r="A109" s="1">
        <v>188</v>
      </c>
      <c r="B109" t="s">
        <v>156</v>
      </c>
      <c r="C109" t="s">
        <v>162</v>
      </c>
      <c r="D109">
        <v>85042401886</v>
      </c>
      <c r="E109" t="s">
        <v>7</v>
      </c>
      <c r="F109" t="s">
        <v>329</v>
      </c>
      <c r="G109" s="6">
        <f t="shared" si="3"/>
        <v>31161</v>
      </c>
      <c r="H109" t="str">
        <f t="shared" si="4"/>
        <v>F</v>
      </c>
      <c r="I109" t="s">
        <v>392</v>
      </c>
      <c r="J109" s="7" t="str">
        <f t="shared" ca="1" si="5"/>
        <v>784958039</v>
      </c>
      <c r="K109" s="7">
        <f t="array" ref="K109">MATCH(ConvertPolish2Latin(B109&amp;C109),Arkusz2!$A$2:$A$282&amp;Arkusz2!$B$2:$B$282,0)</f>
        <v>116</v>
      </c>
      <c r="L109" s="7" t="str">
        <f ca="1">IF(OR(ISERROR(OFFSET(Arkusz2!$A$1,K109,3)),OFFSET(Arkusz2!$A$1,K109,3)=0),"",OFFSET(Arkusz2!$A$1,K109,3))</f>
        <v>784958039</v>
      </c>
    </row>
    <row r="110" spans="1:12" x14ac:dyDescent="0.25">
      <c r="A110" s="1">
        <v>228</v>
      </c>
      <c r="B110" t="s">
        <v>163</v>
      </c>
      <c r="C110" t="s">
        <v>164</v>
      </c>
      <c r="D110">
        <v>87022413449</v>
      </c>
      <c r="E110" t="s">
        <v>7</v>
      </c>
      <c r="F110" t="s">
        <v>330</v>
      </c>
      <c r="G110" s="6">
        <f t="shared" si="3"/>
        <v>31832</v>
      </c>
      <c r="H110" t="str">
        <f t="shared" si="4"/>
        <v>F</v>
      </c>
      <c r="I110" t="s">
        <v>392</v>
      </c>
      <c r="J110" s="7" t="str">
        <f t="shared" ca="1" si="5"/>
        <v>692465886</v>
      </c>
      <c r="K110" s="7">
        <f t="array" ref="K110">MATCH(ConvertPolish2Latin(B110&amp;C110),Arkusz2!$A$2:$A$282&amp;Arkusz2!$B$2:$B$282,0)</f>
        <v>31</v>
      </c>
      <c r="L110" s="7" t="str">
        <f ca="1">IF(OR(ISERROR(OFFSET(Arkusz2!$A$1,K110,3)),OFFSET(Arkusz2!$A$1,K110,3)=0),"",OFFSET(Arkusz2!$A$1,K110,3))</f>
        <v>692465886</v>
      </c>
    </row>
    <row r="111" spans="1:12" x14ac:dyDescent="0.25">
      <c r="A111" s="1">
        <v>172</v>
      </c>
      <c r="B111" t="s">
        <v>59</v>
      </c>
      <c r="C111" t="s">
        <v>165</v>
      </c>
      <c r="D111">
        <v>84111603763</v>
      </c>
      <c r="E111" t="s">
        <v>7</v>
      </c>
      <c r="F111" t="s">
        <v>331</v>
      </c>
      <c r="G111" s="6">
        <f t="shared" si="3"/>
        <v>31002</v>
      </c>
      <c r="H111" t="str">
        <f t="shared" si="4"/>
        <v>F</v>
      </c>
      <c r="I111" t="s">
        <v>392</v>
      </c>
      <c r="J111" s="7" t="str">
        <f t="shared" ca="1" si="5"/>
        <v>784019722</v>
      </c>
      <c r="K111" s="7">
        <f t="array" ref="K111">MATCH(ConvertPolish2Latin(B111&amp;C111),Arkusz2!$A$2:$A$282&amp;Arkusz2!$B$2:$B$282,0)</f>
        <v>34</v>
      </c>
      <c r="L111" s="7" t="str">
        <f ca="1">IF(OR(ISERROR(OFFSET(Arkusz2!$A$1,K111,3)),OFFSET(Arkusz2!$A$1,K111,3)=0),"",OFFSET(Arkusz2!$A$1,K111,3))</f>
        <v>784019722</v>
      </c>
    </row>
    <row r="112" spans="1:12" x14ac:dyDescent="0.25">
      <c r="A112" s="1">
        <v>98</v>
      </c>
      <c r="B112" t="s">
        <v>126</v>
      </c>
      <c r="C112" t="s">
        <v>166</v>
      </c>
      <c r="D112">
        <v>88060303831</v>
      </c>
      <c r="E112" t="s">
        <v>7</v>
      </c>
      <c r="F112" t="s">
        <v>332</v>
      </c>
      <c r="G112" s="6">
        <f t="shared" si="3"/>
        <v>32297</v>
      </c>
      <c r="H112" t="str">
        <f t="shared" si="4"/>
        <v>M</v>
      </c>
      <c r="I112" t="s">
        <v>392</v>
      </c>
      <c r="J112" s="7" t="str">
        <f t="shared" ca="1" si="5"/>
        <v/>
      </c>
      <c r="K112" s="7" t="e">
        <f t="array" ref="K112">MATCH(ConvertPolish2Latin(B112&amp;C112),Arkusz2!$A$2:$A$282&amp;Arkusz2!$B$2:$B$282,0)</f>
        <v>#N/A</v>
      </c>
      <c r="L112" s="7" t="e">
        <f ca="1">IF(OR(ISERROR(OFFSET(Arkusz2!$A$1,K112,3)),OFFSET(Arkusz2!$A$1,K112,3)=0),"",OFFSET(Arkusz2!$A$1,K112,3))</f>
        <v>#N/A</v>
      </c>
    </row>
    <row r="113" spans="1:12" x14ac:dyDescent="0.25">
      <c r="A113" s="1">
        <v>78</v>
      </c>
      <c r="B113" t="s">
        <v>145</v>
      </c>
      <c r="C113" t="s">
        <v>157</v>
      </c>
      <c r="D113">
        <v>86021613829</v>
      </c>
      <c r="E113" t="s">
        <v>7</v>
      </c>
      <c r="F113" t="s">
        <v>333</v>
      </c>
      <c r="G113" s="6">
        <f t="shared" si="3"/>
        <v>31459</v>
      </c>
      <c r="H113" t="str">
        <f t="shared" si="4"/>
        <v>F</v>
      </c>
      <c r="I113" t="s">
        <v>392</v>
      </c>
      <c r="J113" s="7" t="str">
        <f t="shared" ca="1" si="5"/>
        <v>602326323</v>
      </c>
      <c r="K113" s="7">
        <f t="array" ref="K113">MATCH(ConvertPolish2Latin(B113&amp;C113),Arkusz2!$A$2:$A$282&amp;Arkusz2!$B$2:$B$282,0)</f>
        <v>220</v>
      </c>
      <c r="L113" s="7" t="str">
        <f ca="1">IF(OR(ISERROR(OFFSET(Arkusz2!$A$1,K113,3)),OFFSET(Arkusz2!$A$1,K113,3)=0),"",OFFSET(Arkusz2!$A$1,K113,3))</f>
        <v>602326323</v>
      </c>
    </row>
    <row r="114" spans="1:12" x14ac:dyDescent="0.25">
      <c r="A114" s="1">
        <v>136</v>
      </c>
      <c r="B114" t="s">
        <v>59</v>
      </c>
      <c r="C114" t="s">
        <v>167</v>
      </c>
      <c r="D114">
        <v>86062010384</v>
      </c>
      <c r="E114" t="s">
        <v>7</v>
      </c>
      <c r="F114" t="s">
        <v>334</v>
      </c>
      <c r="G114" s="6">
        <f t="shared" si="3"/>
        <v>31583</v>
      </c>
      <c r="H114" t="str">
        <f t="shared" si="4"/>
        <v>F</v>
      </c>
      <c r="I114" t="s">
        <v>392</v>
      </c>
      <c r="J114" s="7" t="str">
        <f t="shared" ca="1" si="5"/>
        <v>698645860</v>
      </c>
      <c r="K114" s="7">
        <f t="array" ref="K114">MATCH(ConvertPolish2Latin(B114&amp;C114),Arkusz2!$A$2:$A$282&amp;Arkusz2!$B$2:$B$282,0)</f>
        <v>216</v>
      </c>
      <c r="L114" s="7" t="str">
        <f ca="1">IF(OR(ISERROR(OFFSET(Arkusz2!$A$1,K114,3)),OFFSET(Arkusz2!$A$1,K114,3)=0),"",OFFSET(Arkusz2!$A$1,K114,3))</f>
        <v>698645860</v>
      </c>
    </row>
    <row r="115" spans="1:12" x14ac:dyDescent="0.25">
      <c r="A115" s="1">
        <v>119</v>
      </c>
      <c r="B115" t="s">
        <v>45</v>
      </c>
      <c r="C115" t="s">
        <v>168</v>
      </c>
      <c r="D115">
        <v>85071520547</v>
      </c>
      <c r="E115" t="s">
        <v>7</v>
      </c>
      <c r="F115" t="s">
        <v>335</v>
      </c>
      <c r="G115" s="6">
        <f t="shared" si="3"/>
        <v>31243</v>
      </c>
      <c r="H115" t="str">
        <f t="shared" si="4"/>
        <v>F</v>
      </c>
      <c r="I115" t="s">
        <v>392</v>
      </c>
      <c r="J115" s="7" t="str">
        <f t="shared" ca="1" si="5"/>
        <v>660621566</v>
      </c>
      <c r="K115" s="7">
        <f t="array" ref="K115">MATCH(ConvertPolish2Latin(B115&amp;C115),Arkusz2!$A$2:$A$282&amp;Arkusz2!$B$2:$B$282,0)</f>
        <v>161</v>
      </c>
      <c r="L115" s="7" t="str">
        <f ca="1">IF(OR(ISERROR(OFFSET(Arkusz2!$A$1,K115,3)),OFFSET(Arkusz2!$A$1,K115,3)=0),"",OFFSET(Arkusz2!$A$1,K115,3))</f>
        <v>660621566</v>
      </c>
    </row>
    <row r="116" spans="1:12" x14ac:dyDescent="0.25">
      <c r="A116" s="1">
        <v>74</v>
      </c>
      <c r="B116" t="s">
        <v>59</v>
      </c>
      <c r="C116" t="s">
        <v>169</v>
      </c>
      <c r="D116">
        <v>76012000905</v>
      </c>
      <c r="E116" t="s">
        <v>7</v>
      </c>
      <c r="F116" t="s">
        <v>336</v>
      </c>
      <c r="G116" s="6">
        <f t="shared" si="3"/>
        <v>27779</v>
      </c>
      <c r="H116" t="str">
        <f t="shared" si="4"/>
        <v>F</v>
      </c>
      <c r="I116" t="s">
        <v>392</v>
      </c>
      <c r="J116" s="7" t="str">
        <f t="shared" ca="1" si="5"/>
        <v>664164824</v>
      </c>
      <c r="K116" s="7">
        <f t="array" ref="K116">MATCH(ConvertPolish2Latin(B116&amp;C116),Arkusz2!$A$2:$A$282&amp;Arkusz2!$B$2:$B$282,0)</f>
        <v>68</v>
      </c>
      <c r="L116" s="7" t="str">
        <f ca="1">IF(OR(ISERROR(OFFSET(Arkusz2!$A$1,K116,3)),OFFSET(Arkusz2!$A$1,K116,3)=0),"",OFFSET(Arkusz2!$A$1,K116,3))</f>
        <v>664164824</v>
      </c>
    </row>
    <row r="117" spans="1:12" x14ac:dyDescent="0.25">
      <c r="A117" s="1">
        <v>14</v>
      </c>
      <c r="B117" t="s">
        <v>170</v>
      </c>
      <c r="C117" t="s">
        <v>171</v>
      </c>
      <c r="D117">
        <v>87041108986</v>
      </c>
      <c r="E117" t="s">
        <v>7</v>
      </c>
      <c r="F117" t="s">
        <v>337</v>
      </c>
      <c r="G117" s="6">
        <f t="shared" si="3"/>
        <v>31878</v>
      </c>
      <c r="H117" t="str">
        <f t="shared" si="4"/>
        <v>F</v>
      </c>
      <c r="I117" t="s">
        <v>392</v>
      </c>
      <c r="J117" s="7" t="str">
        <f t="shared" ca="1" si="5"/>
        <v/>
      </c>
      <c r="K117" s="7" t="e">
        <f t="array" ref="K117">MATCH(ConvertPolish2Latin(B117&amp;C117),Arkusz2!$A$2:$A$282&amp;Arkusz2!$B$2:$B$282,0)</f>
        <v>#N/A</v>
      </c>
      <c r="L117" s="7" t="e">
        <f ca="1">IF(OR(ISERROR(OFFSET(Arkusz2!$A$1,K117,3)),OFFSET(Arkusz2!$A$1,K117,3)=0),"",OFFSET(Arkusz2!$A$1,K117,3))</f>
        <v>#N/A</v>
      </c>
    </row>
    <row r="118" spans="1:12" x14ac:dyDescent="0.25">
      <c r="A118" s="1">
        <v>205</v>
      </c>
      <c r="B118" t="s">
        <v>112</v>
      </c>
      <c r="C118" t="s">
        <v>172</v>
      </c>
      <c r="D118">
        <v>86021500352</v>
      </c>
      <c r="E118" t="s">
        <v>7</v>
      </c>
      <c r="F118" t="s">
        <v>338</v>
      </c>
      <c r="G118" s="6">
        <f t="shared" si="3"/>
        <v>31458</v>
      </c>
      <c r="H118" t="str">
        <f t="shared" si="4"/>
        <v>M</v>
      </c>
      <c r="I118" t="s">
        <v>392</v>
      </c>
      <c r="J118" s="7" t="str">
        <f t="shared" ca="1" si="5"/>
        <v>784971066</v>
      </c>
      <c r="K118" s="7">
        <f t="array" ref="K118">MATCH(ConvertPolish2Latin(B118&amp;C118),Arkusz2!$A$2:$A$282&amp;Arkusz2!$B$2:$B$282,0)</f>
        <v>133</v>
      </c>
      <c r="L118" s="7" t="str">
        <f ca="1">IF(OR(ISERROR(OFFSET(Arkusz2!$A$1,K118,3)),OFFSET(Arkusz2!$A$1,K118,3)=0),"",OFFSET(Arkusz2!$A$1,K118,3))</f>
        <v>784971066</v>
      </c>
    </row>
    <row r="119" spans="1:12" x14ac:dyDescent="0.25">
      <c r="A119" s="1">
        <v>31</v>
      </c>
      <c r="B119" t="s">
        <v>137</v>
      </c>
      <c r="C119" t="s">
        <v>173</v>
      </c>
      <c r="D119">
        <v>86042408842</v>
      </c>
      <c r="E119" t="s">
        <v>7</v>
      </c>
      <c r="F119" t="s">
        <v>339</v>
      </c>
      <c r="G119" s="6">
        <f t="shared" si="3"/>
        <v>31526</v>
      </c>
      <c r="H119" t="str">
        <f t="shared" si="4"/>
        <v>F</v>
      </c>
      <c r="I119" t="s">
        <v>392</v>
      </c>
      <c r="J119" s="7" t="str">
        <f t="shared" ca="1" si="5"/>
        <v>698645751</v>
      </c>
      <c r="K119" s="7">
        <f t="array" ref="K119">MATCH(ConvertPolish2Latin(B119&amp;C119),Arkusz2!$A$2:$A$282&amp;Arkusz2!$B$2:$B$282,0)</f>
        <v>3</v>
      </c>
      <c r="L119" s="7" t="str">
        <f ca="1">IF(OR(ISERROR(OFFSET(Arkusz2!$A$1,K119,3)),OFFSET(Arkusz2!$A$1,K119,3)=0),"",OFFSET(Arkusz2!$A$1,K119,3))</f>
        <v>698645751</v>
      </c>
    </row>
    <row r="120" spans="1:12" x14ac:dyDescent="0.25">
      <c r="A120" s="1">
        <v>184</v>
      </c>
      <c r="B120" t="s">
        <v>37</v>
      </c>
      <c r="C120" t="s">
        <v>174</v>
      </c>
      <c r="D120">
        <v>82041005387</v>
      </c>
      <c r="E120" t="s">
        <v>7</v>
      </c>
      <c r="F120" t="s">
        <v>340</v>
      </c>
      <c r="G120" s="6">
        <f t="shared" si="3"/>
        <v>30051</v>
      </c>
      <c r="H120" t="str">
        <f t="shared" si="4"/>
        <v>F</v>
      </c>
      <c r="I120" t="s">
        <v>392</v>
      </c>
      <c r="J120" s="7" t="str">
        <f t="shared" ca="1" si="5"/>
        <v>784970861</v>
      </c>
      <c r="K120" s="7">
        <f t="array" ref="K120">MATCH(ConvertPolish2Latin(B120&amp;C120),Arkusz2!$A$2:$A$282&amp;Arkusz2!$B$2:$B$282,0)</f>
        <v>21</v>
      </c>
      <c r="L120" s="7" t="str">
        <f ca="1">IF(OR(ISERROR(OFFSET(Arkusz2!$A$1,K120,3)),OFFSET(Arkusz2!$A$1,K120,3)=0),"",OFFSET(Arkusz2!$A$1,K120,3))</f>
        <v>784970861</v>
      </c>
    </row>
    <row r="121" spans="1:12" x14ac:dyDescent="0.25">
      <c r="A121" s="1">
        <v>175</v>
      </c>
      <c r="B121" t="s">
        <v>126</v>
      </c>
      <c r="C121" t="s">
        <v>175</v>
      </c>
      <c r="D121">
        <v>87070504519</v>
      </c>
      <c r="E121" t="s">
        <v>7</v>
      </c>
      <c r="F121" t="s">
        <v>341</v>
      </c>
      <c r="G121" s="6">
        <f t="shared" si="3"/>
        <v>31963</v>
      </c>
      <c r="H121" t="str">
        <f t="shared" si="4"/>
        <v>M</v>
      </c>
      <c r="I121" t="s">
        <v>392</v>
      </c>
      <c r="J121" s="7" t="str">
        <f t="shared" ca="1" si="5"/>
        <v>664192145</v>
      </c>
      <c r="K121" s="7">
        <f t="array" ref="K121">MATCH(ConvertPolish2Latin(B121&amp;C121),Arkusz2!$A$2:$A$282&amp;Arkusz2!$B$2:$B$282,0)</f>
        <v>74</v>
      </c>
      <c r="L121" s="7" t="str">
        <f ca="1">IF(OR(ISERROR(OFFSET(Arkusz2!$A$1,K121,3)),OFFSET(Arkusz2!$A$1,K121,3)=0),"",OFFSET(Arkusz2!$A$1,K121,3))</f>
        <v>664192145</v>
      </c>
    </row>
    <row r="122" spans="1:12" x14ac:dyDescent="0.25">
      <c r="A122" s="1">
        <v>68</v>
      </c>
      <c r="B122" t="s">
        <v>72</v>
      </c>
      <c r="C122" t="s">
        <v>176</v>
      </c>
      <c r="D122">
        <v>85031901652</v>
      </c>
      <c r="E122" t="s">
        <v>7</v>
      </c>
      <c r="F122" t="s">
        <v>342</v>
      </c>
      <c r="G122" s="6">
        <f t="shared" si="3"/>
        <v>31125</v>
      </c>
      <c r="H122" t="str">
        <f t="shared" si="4"/>
        <v>M</v>
      </c>
      <c r="I122" t="s">
        <v>392</v>
      </c>
      <c r="J122" s="7" t="str">
        <f t="shared" ca="1" si="5"/>
        <v>698645668</v>
      </c>
      <c r="K122" s="7">
        <f t="array" ref="K122">MATCH(ConvertPolish2Latin(B122&amp;C122),Arkusz2!$A$2:$A$282&amp;Arkusz2!$B$2:$B$282,0)</f>
        <v>76</v>
      </c>
      <c r="L122" s="7" t="str">
        <f ca="1">IF(OR(ISERROR(OFFSET(Arkusz2!$A$1,K122,3)),OFFSET(Arkusz2!$A$1,K122,3)=0),"",OFFSET(Arkusz2!$A$1,K122,3))</f>
        <v>698645668</v>
      </c>
    </row>
    <row r="123" spans="1:12" x14ac:dyDescent="0.25">
      <c r="A123" s="1">
        <v>92</v>
      </c>
      <c r="B123" t="s">
        <v>10</v>
      </c>
      <c r="C123" t="s">
        <v>177</v>
      </c>
      <c r="D123">
        <v>88051802123</v>
      </c>
      <c r="E123" t="s">
        <v>99</v>
      </c>
      <c r="F123" t="s">
        <v>343</v>
      </c>
      <c r="G123" s="6">
        <f t="shared" si="3"/>
        <v>32281</v>
      </c>
      <c r="H123" t="str">
        <f t="shared" si="4"/>
        <v>F</v>
      </c>
      <c r="I123" t="s">
        <v>392</v>
      </c>
      <c r="J123" s="7" t="str">
        <f t="shared" ca="1" si="5"/>
        <v/>
      </c>
      <c r="K123" s="7">
        <f t="array" ref="K123">MATCH(ConvertPolish2Latin(B123&amp;C123),Arkusz2!$A$2:$A$282&amp;Arkusz2!$B$2:$B$282,0)</f>
        <v>169</v>
      </c>
      <c r="L123" s="7" t="str">
        <f ca="1">IF(OR(ISERROR(OFFSET(Arkusz2!$A$1,K123,3)),OFFSET(Arkusz2!$A$1,K123,3)=0),"",OFFSET(Arkusz2!$A$1,K123,3))</f>
        <v/>
      </c>
    </row>
    <row r="124" spans="1:12" x14ac:dyDescent="0.25">
      <c r="A124" s="1">
        <v>22</v>
      </c>
      <c r="B124" t="s">
        <v>72</v>
      </c>
      <c r="C124" t="s">
        <v>178</v>
      </c>
      <c r="D124">
        <v>85052300414</v>
      </c>
      <c r="E124" t="s">
        <v>7</v>
      </c>
      <c r="F124" t="s">
        <v>344</v>
      </c>
      <c r="G124" s="6">
        <f t="shared" si="3"/>
        <v>31190</v>
      </c>
      <c r="H124" t="str">
        <f t="shared" si="4"/>
        <v>M</v>
      </c>
      <c r="I124" t="s">
        <v>392</v>
      </c>
      <c r="J124" s="7" t="str">
        <f t="shared" ca="1" si="5"/>
        <v/>
      </c>
      <c r="K124" s="7">
        <f t="array" ref="K124">MATCH(ConvertPolish2Latin(B124&amp;C124),Arkusz2!$A$2:$A$282&amp;Arkusz2!$B$2:$B$282,0)</f>
        <v>205</v>
      </c>
      <c r="L124" s="7" t="str">
        <f ca="1">IF(OR(ISERROR(OFFSET(Arkusz2!$A$1,K124,3)),OFFSET(Arkusz2!$A$1,K124,3)=0),"",OFFSET(Arkusz2!$A$1,K124,3))</f>
        <v/>
      </c>
    </row>
    <row r="125" spans="1:12" x14ac:dyDescent="0.25">
      <c r="A125" s="1">
        <v>51</v>
      </c>
      <c r="B125" t="s">
        <v>179</v>
      </c>
      <c r="C125" t="s">
        <v>180</v>
      </c>
      <c r="D125">
        <v>89102902506</v>
      </c>
      <c r="E125" t="s">
        <v>99</v>
      </c>
      <c r="F125" t="s">
        <v>345</v>
      </c>
      <c r="G125" s="6">
        <f t="shared" si="3"/>
        <v>32810</v>
      </c>
      <c r="H125" t="str">
        <f t="shared" si="4"/>
        <v>F</v>
      </c>
      <c r="I125" t="s">
        <v>392</v>
      </c>
      <c r="J125" s="7" t="str">
        <f t="shared" ca="1" si="5"/>
        <v>692414599</v>
      </c>
      <c r="K125" s="7">
        <f t="array" ref="K125">MATCH(ConvertPolish2Latin(B125&amp;C125),Arkusz2!$A$2:$A$282&amp;Arkusz2!$B$2:$B$282,0)</f>
        <v>91</v>
      </c>
      <c r="L125" s="7" t="str">
        <f ca="1">IF(OR(ISERROR(OFFSET(Arkusz2!$A$1,K125,3)),OFFSET(Arkusz2!$A$1,K125,3)=0),"",OFFSET(Arkusz2!$A$1,K125,3))</f>
        <v>692414599</v>
      </c>
    </row>
    <row r="126" spans="1:12" x14ac:dyDescent="0.25">
      <c r="A126" s="1">
        <v>173</v>
      </c>
      <c r="B126" t="s">
        <v>181</v>
      </c>
      <c r="C126" t="s">
        <v>182</v>
      </c>
      <c r="D126">
        <v>86061608825</v>
      </c>
      <c r="E126" t="s">
        <v>7</v>
      </c>
      <c r="F126" t="s">
        <v>346</v>
      </c>
      <c r="G126" s="6">
        <f t="shared" si="3"/>
        <v>31579</v>
      </c>
      <c r="H126" t="str">
        <f t="shared" si="4"/>
        <v>F</v>
      </c>
      <c r="I126" t="s">
        <v>392</v>
      </c>
      <c r="J126" s="7" t="str">
        <f t="shared" ca="1" si="5"/>
        <v>664192124</v>
      </c>
      <c r="K126" s="7">
        <f t="array" ref="K126">MATCH(ConvertPolish2Latin(B126&amp;C126),Arkusz2!$A$2:$A$282&amp;Arkusz2!$B$2:$B$282,0)</f>
        <v>113</v>
      </c>
      <c r="L126" s="7" t="str">
        <f ca="1">IF(OR(ISERROR(OFFSET(Arkusz2!$A$1,K126,3)),OFFSET(Arkusz2!$A$1,K126,3)=0),"",OFFSET(Arkusz2!$A$1,K126,3))</f>
        <v>664192124</v>
      </c>
    </row>
    <row r="127" spans="1:12" x14ac:dyDescent="0.25">
      <c r="A127" s="1">
        <v>76</v>
      </c>
      <c r="B127" t="s">
        <v>98</v>
      </c>
      <c r="C127" t="s">
        <v>183</v>
      </c>
      <c r="D127">
        <v>87101601488</v>
      </c>
      <c r="E127" t="s">
        <v>7</v>
      </c>
      <c r="F127" t="s">
        <v>347</v>
      </c>
      <c r="G127" s="6">
        <f t="shared" si="3"/>
        <v>32066</v>
      </c>
      <c r="H127" t="str">
        <f t="shared" si="4"/>
        <v>F</v>
      </c>
      <c r="I127" t="s">
        <v>392</v>
      </c>
      <c r="J127" s="7" t="str">
        <f t="shared" ca="1" si="5"/>
        <v/>
      </c>
      <c r="K127" s="7" t="e">
        <f t="array" ref="K127">MATCH(ConvertPolish2Latin(B127&amp;C127),Arkusz2!$A$2:$A$282&amp;Arkusz2!$B$2:$B$282,0)</f>
        <v>#N/A</v>
      </c>
      <c r="L127" s="7" t="e">
        <f ca="1">IF(OR(ISERROR(OFFSET(Arkusz2!$A$1,K127,3)),OFFSET(Arkusz2!$A$1,K127,3)=0),"",OFFSET(Arkusz2!$A$1,K127,3))</f>
        <v>#N/A</v>
      </c>
    </row>
    <row r="128" spans="1:12" x14ac:dyDescent="0.25">
      <c r="A128" s="1">
        <v>231</v>
      </c>
      <c r="B128" t="s">
        <v>23</v>
      </c>
      <c r="C128" t="s">
        <v>184</v>
      </c>
      <c r="D128">
        <v>88071903840</v>
      </c>
      <c r="E128" t="s">
        <v>99</v>
      </c>
      <c r="F128" t="s">
        <v>348</v>
      </c>
      <c r="G128" s="6">
        <f t="shared" si="3"/>
        <v>32343</v>
      </c>
      <c r="H128" t="str">
        <f t="shared" si="4"/>
        <v>F</v>
      </c>
      <c r="I128" t="s">
        <v>392</v>
      </c>
      <c r="J128" s="7" t="str">
        <f t="shared" ca="1" si="5"/>
        <v>660621576</v>
      </c>
      <c r="K128" s="7">
        <f t="array" ref="K128">MATCH(ConvertPolish2Latin(B128&amp;C128),Arkusz2!$A$2:$A$282&amp;Arkusz2!$B$2:$B$282,0)</f>
        <v>77</v>
      </c>
      <c r="L128" s="7" t="str">
        <f ca="1">IF(OR(ISERROR(OFFSET(Arkusz2!$A$1,K128,3)),OFFSET(Arkusz2!$A$1,K128,3)=0),"",OFFSET(Arkusz2!$A$1,K128,3))</f>
        <v>660621576</v>
      </c>
    </row>
    <row r="129" spans="1:12" x14ac:dyDescent="0.25">
      <c r="A129" s="1">
        <v>217</v>
      </c>
      <c r="B129" t="s">
        <v>23</v>
      </c>
      <c r="C129" t="s">
        <v>185</v>
      </c>
      <c r="D129">
        <v>86102215946</v>
      </c>
      <c r="E129" t="s">
        <v>7</v>
      </c>
      <c r="F129" t="s">
        <v>349</v>
      </c>
      <c r="G129" s="6">
        <f t="shared" si="3"/>
        <v>31707</v>
      </c>
      <c r="H129" t="str">
        <f t="shared" si="4"/>
        <v>F</v>
      </c>
      <c r="I129" t="s">
        <v>392</v>
      </c>
      <c r="J129" s="7" t="str">
        <f t="shared" ca="1" si="5"/>
        <v>664164827</v>
      </c>
      <c r="K129" s="7">
        <f t="array" ref="K129">MATCH(ConvertPolish2Latin(B129&amp;C129),Arkusz2!$A$2:$A$282&amp;Arkusz2!$B$2:$B$282,0)</f>
        <v>174</v>
      </c>
      <c r="L129" s="7" t="str">
        <f ca="1">IF(OR(ISERROR(OFFSET(Arkusz2!$A$1,K129,3)),OFFSET(Arkusz2!$A$1,K129,3)=0),"",OFFSET(Arkusz2!$A$1,K129,3))</f>
        <v>664164827</v>
      </c>
    </row>
    <row r="130" spans="1:12" x14ac:dyDescent="0.25">
      <c r="A130" s="1">
        <v>168</v>
      </c>
      <c r="B130" t="s">
        <v>170</v>
      </c>
      <c r="C130" t="s">
        <v>186</v>
      </c>
      <c r="D130">
        <v>87072507329</v>
      </c>
      <c r="E130" t="s">
        <v>7</v>
      </c>
      <c r="F130" t="s">
        <v>350</v>
      </c>
      <c r="G130" s="6">
        <f t="shared" si="3"/>
        <v>31983</v>
      </c>
      <c r="H130" t="str">
        <f t="shared" si="4"/>
        <v>F</v>
      </c>
      <c r="I130" t="s">
        <v>392</v>
      </c>
      <c r="J130" s="7" t="str">
        <f t="shared" ca="1" si="5"/>
        <v>784958065</v>
      </c>
      <c r="K130" s="7">
        <f t="array" ref="K130">MATCH(ConvertPolish2Latin(B130&amp;C130),Arkusz2!$A$2:$A$282&amp;Arkusz2!$B$2:$B$282,0)</f>
        <v>145</v>
      </c>
      <c r="L130" s="7" t="str">
        <f ca="1">IF(OR(ISERROR(OFFSET(Arkusz2!$A$1,K130,3)),OFFSET(Arkusz2!$A$1,K130,3)=0),"",OFFSET(Arkusz2!$A$1,K130,3))</f>
        <v>784958065</v>
      </c>
    </row>
    <row r="131" spans="1:12" x14ac:dyDescent="0.25">
      <c r="A131" s="1">
        <v>42</v>
      </c>
      <c r="B131" t="s">
        <v>107</v>
      </c>
      <c r="C131" t="s">
        <v>187</v>
      </c>
      <c r="D131">
        <v>87070805658</v>
      </c>
      <c r="E131" t="s">
        <v>7</v>
      </c>
      <c r="F131" t="s">
        <v>351</v>
      </c>
      <c r="G131" s="6">
        <f t="shared" ref="G131:G164" si="6">DATE("19"&amp;LEFT(D131,2),MID(D131,3,2),MID(D131,5,2))</f>
        <v>31966</v>
      </c>
      <c r="H131" t="str">
        <f t="shared" ref="H131:H164" si="7">IF(ISEVEN(MID(D131,10,1)),"F","M")</f>
        <v>M</v>
      </c>
      <c r="I131" t="s">
        <v>392</v>
      </c>
      <c r="J131" s="7" t="str">
        <f t="shared" ref="J131:J164" ca="1" si="8">IF(ISERROR(L131),"",IF(L131=0,"",L131))</f>
        <v>660621564</v>
      </c>
      <c r="K131" s="7">
        <f t="array" ref="K131">MATCH(ConvertPolish2Latin(B131&amp;C131),Arkusz2!$A$2:$A$282&amp;Arkusz2!$B$2:$B$282,0)</f>
        <v>265</v>
      </c>
      <c r="L131" s="7" t="str">
        <f ca="1">IF(OR(ISERROR(OFFSET(Arkusz2!$A$1,K131,3)),OFFSET(Arkusz2!$A$1,K131,3)=0),"",OFFSET(Arkusz2!$A$1,K131,3))</f>
        <v>660621564</v>
      </c>
    </row>
    <row r="132" spans="1:12" x14ac:dyDescent="0.25">
      <c r="A132" s="1">
        <v>104</v>
      </c>
      <c r="B132" t="s">
        <v>37</v>
      </c>
      <c r="C132" t="s">
        <v>188</v>
      </c>
      <c r="D132">
        <v>87080104109</v>
      </c>
      <c r="E132" t="s">
        <v>99</v>
      </c>
      <c r="F132" t="s">
        <v>352</v>
      </c>
      <c r="G132" s="6">
        <f t="shared" si="6"/>
        <v>31990</v>
      </c>
      <c r="H132" t="str">
        <f t="shared" si="7"/>
        <v>F</v>
      </c>
      <c r="I132" t="s">
        <v>392</v>
      </c>
      <c r="J132" s="7" t="str">
        <f t="shared" ca="1" si="8"/>
        <v/>
      </c>
      <c r="K132" s="7">
        <f t="array" ref="K132">MATCH(ConvertPolish2Latin(B132&amp;C132),Arkusz2!$A$2:$A$282&amp;Arkusz2!$B$2:$B$282,0)</f>
        <v>20</v>
      </c>
      <c r="L132" s="7" t="str">
        <f ca="1">IF(OR(ISERROR(OFFSET(Arkusz2!$A$1,K132,3)),OFFSET(Arkusz2!$A$1,K132,3)=0),"",OFFSET(Arkusz2!$A$1,K132,3))</f>
        <v/>
      </c>
    </row>
    <row r="133" spans="1:12" x14ac:dyDescent="0.25">
      <c r="A133" s="1">
        <v>148</v>
      </c>
      <c r="B133" t="s">
        <v>189</v>
      </c>
      <c r="C133" t="s">
        <v>190</v>
      </c>
      <c r="D133">
        <v>88010907283</v>
      </c>
      <c r="E133" t="s">
        <v>7</v>
      </c>
      <c r="F133" t="s">
        <v>353</v>
      </c>
      <c r="G133" s="6">
        <f t="shared" si="6"/>
        <v>32151</v>
      </c>
      <c r="H133" t="str">
        <f t="shared" si="7"/>
        <v>F</v>
      </c>
      <c r="I133" t="s">
        <v>392</v>
      </c>
      <c r="J133" s="7" t="str">
        <f t="shared" ca="1" si="8"/>
        <v/>
      </c>
      <c r="K133" s="7" t="e">
        <f t="array" ref="K133">MATCH(ConvertPolish2Latin(B133&amp;C133),Arkusz2!$A$2:$A$282&amp;Arkusz2!$B$2:$B$282,0)</f>
        <v>#N/A</v>
      </c>
      <c r="L133" s="7" t="e">
        <f ca="1">IF(OR(ISERROR(OFFSET(Arkusz2!$A$1,K133,3)),OFFSET(Arkusz2!$A$1,K133,3)=0),"",OFFSET(Arkusz2!$A$1,K133,3))</f>
        <v>#N/A</v>
      </c>
    </row>
    <row r="134" spans="1:12" x14ac:dyDescent="0.25">
      <c r="A134" s="1">
        <v>47</v>
      </c>
      <c r="B134" t="s">
        <v>10</v>
      </c>
      <c r="C134" t="s">
        <v>191</v>
      </c>
      <c r="D134">
        <v>89101907205</v>
      </c>
      <c r="E134" t="s">
        <v>99</v>
      </c>
      <c r="F134" t="s">
        <v>354</v>
      </c>
      <c r="G134" s="6">
        <f t="shared" si="6"/>
        <v>32800</v>
      </c>
      <c r="H134" t="str">
        <f t="shared" si="7"/>
        <v>F</v>
      </c>
      <c r="I134" t="s">
        <v>392</v>
      </c>
      <c r="J134" s="7" t="str">
        <f t="shared" ca="1" si="8"/>
        <v/>
      </c>
      <c r="K134" s="7">
        <f t="array" ref="K134">MATCH(ConvertPolish2Latin(B134&amp;C134),Arkusz2!$A$2:$A$282&amp;Arkusz2!$B$2:$B$282,0)</f>
        <v>259</v>
      </c>
      <c r="L134" s="7" t="str">
        <f ca="1">IF(OR(ISERROR(OFFSET(Arkusz2!$A$1,K134,3)),OFFSET(Arkusz2!$A$1,K134,3)=0),"",OFFSET(Arkusz2!$A$1,K134,3))</f>
        <v/>
      </c>
    </row>
    <row r="135" spans="1:12" x14ac:dyDescent="0.25">
      <c r="A135" s="1">
        <v>145</v>
      </c>
      <c r="B135" t="s">
        <v>79</v>
      </c>
      <c r="C135" t="s">
        <v>192</v>
      </c>
      <c r="D135">
        <v>88050308774</v>
      </c>
      <c r="E135" t="s">
        <v>99</v>
      </c>
      <c r="F135" t="s">
        <v>355</v>
      </c>
      <c r="G135" s="6">
        <f t="shared" si="6"/>
        <v>32266</v>
      </c>
      <c r="H135" t="str">
        <f t="shared" si="7"/>
        <v>M</v>
      </c>
      <c r="I135" t="s">
        <v>392</v>
      </c>
      <c r="J135" s="7" t="str">
        <f t="shared" ca="1" si="8"/>
        <v>784958016</v>
      </c>
      <c r="K135" s="7">
        <f t="array" ref="K135">MATCH(ConvertPolish2Latin(B135&amp;C135),Arkusz2!$A$2:$A$282&amp;Arkusz2!$B$2:$B$282,0)</f>
        <v>54</v>
      </c>
      <c r="L135" s="7" t="str">
        <f ca="1">IF(OR(ISERROR(OFFSET(Arkusz2!$A$1,K135,3)),OFFSET(Arkusz2!$A$1,K135,3)=0),"",OFFSET(Arkusz2!$A$1,K135,3))</f>
        <v>784958016</v>
      </c>
    </row>
    <row r="136" spans="1:12" x14ac:dyDescent="0.25">
      <c r="A136" s="1">
        <v>185</v>
      </c>
      <c r="B136" t="s">
        <v>23</v>
      </c>
      <c r="C136" t="s">
        <v>193</v>
      </c>
      <c r="D136">
        <v>85062104828</v>
      </c>
      <c r="E136" t="s">
        <v>99</v>
      </c>
      <c r="F136" t="s">
        <v>356</v>
      </c>
      <c r="G136" s="6">
        <f t="shared" si="6"/>
        <v>31219</v>
      </c>
      <c r="H136" t="str">
        <f t="shared" si="7"/>
        <v>F</v>
      </c>
      <c r="I136" t="s">
        <v>392</v>
      </c>
      <c r="J136" s="7" t="str">
        <f t="shared" ca="1" si="8"/>
        <v/>
      </c>
      <c r="K136" s="7" t="e">
        <f t="array" ref="K136">MATCH(ConvertPolish2Latin(B136&amp;C136),Arkusz2!$A$2:$A$282&amp;Arkusz2!$B$2:$B$282,0)</f>
        <v>#N/A</v>
      </c>
      <c r="L136" s="7" t="e">
        <f ca="1">IF(OR(ISERROR(OFFSET(Arkusz2!$A$1,K136,3)),OFFSET(Arkusz2!$A$1,K136,3)=0),"",OFFSET(Arkusz2!$A$1,K136,3))</f>
        <v>#N/A</v>
      </c>
    </row>
    <row r="137" spans="1:12" x14ac:dyDescent="0.25">
      <c r="A137" s="1">
        <v>159</v>
      </c>
      <c r="B137" t="s">
        <v>67</v>
      </c>
      <c r="C137" t="s">
        <v>194</v>
      </c>
      <c r="D137">
        <v>88102104246</v>
      </c>
      <c r="E137" t="s">
        <v>7</v>
      </c>
      <c r="F137" t="s">
        <v>357</v>
      </c>
      <c r="G137" s="6">
        <f t="shared" si="6"/>
        <v>32437</v>
      </c>
      <c r="H137" t="str">
        <f t="shared" si="7"/>
        <v>F</v>
      </c>
      <c r="I137" t="s">
        <v>392</v>
      </c>
      <c r="J137" s="7" t="str">
        <f t="shared" ca="1" si="8"/>
        <v/>
      </c>
      <c r="K137" s="7">
        <f t="array" ref="K137">MATCH(ConvertPolish2Latin(B137&amp;C137),Arkusz2!$A$2:$A$282&amp;Arkusz2!$B$2:$B$282,0)</f>
        <v>71</v>
      </c>
      <c r="L137" s="7" t="str">
        <f ca="1">IF(OR(ISERROR(OFFSET(Arkusz2!$A$1,K137,3)),OFFSET(Arkusz2!$A$1,K137,3)=0),"",OFFSET(Arkusz2!$A$1,K137,3))</f>
        <v/>
      </c>
    </row>
    <row r="138" spans="1:12" x14ac:dyDescent="0.25">
      <c r="A138" s="1">
        <v>244</v>
      </c>
      <c r="B138" t="s">
        <v>10</v>
      </c>
      <c r="C138" t="s">
        <v>195</v>
      </c>
      <c r="D138">
        <v>88081301687</v>
      </c>
      <c r="E138" t="s">
        <v>99</v>
      </c>
      <c r="F138" t="s">
        <v>358</v>
      </c>
      <c r="G138" s="6">
        <f t="shared" si="6"/>
        <v>32368</v>
      </c>
      <c r="H138" t="str">
        <f t="shared" si="7"/>
        <v>F</v>
      </c>
      <c r="I138" t="s">
        <v>392</v>
      </c>
      <c r="J138" s="7" t="str">
        <f t="shared" ca="1" si="8"/>
        <v/>
      </c>
      <c r="K138" s="7">
        <f t="array" ref="K138">MATCH(ConvertPolish2Latin(B138&amp;C138),Arkusz2!$A$2:$A$282&amp;Arkusz2!$B$2:$B$282,0)</f>
        <v>168</v>
      </c>
      <c r="L138" s="7" t="str">
        <f ca="1">IF(OR(ISERROR(OFFSET(Arkusz2!$A$1,K138,3)),OFFSET(Arkusz2!$A$1,K138,3)=0),"",OFFSET(Arkusz2!$A$1,K138,3))</f>
        <v/>
      </c>
    </row>
    <row r="139" spans="1:12" x14ac:dyDescent="0.25">
      <c r="A139" s="1">
        <v>213</v>
      </c>
      <c r="B139" t="s">
        <v>196</v>
      </c>
      <c r="C139" t="s">
        <v>197</v>
      </c>
      <c r="D139">
        <v>87110804074</v>
      </c>
      <c r="E139" t="s">
        <v>99</v>
      </c>
      <c r="F139" t="s">
        <v>359</v>
      </c>
      <c r="G139" s="6">
        <f t="shared" si="6"/>
        <v>32089</v>
      </c>
      <c r="H139" t="str">
        <f t="shared" si="7"/>
        <v>M</v>
      </c>
      <c r="I139" t="s">
        <v>392</v>
      </c>
      <c r="J139" s="7" t="str">
        <f t="shared" ca="1" si="8"/>
        <v/>
      </c>
      <c r="K139" s="7" t="e">
        <f t="array" ref="K139">MATCH(ConvertPolish2Latin(B139&amp;C139),Arkusz2!$A$2:$A$282&amp;Arkusz2!$B$2:$B$282,0)</f>
        <v>#N/A</v>
      </c>
      <c r="L139" s="7" t="e">
        <f ca="1">IF(OR(ISERROR(OFFSET(Arkusz2!$A$1,K139,3)),OFFSET(Arkusz2!$A$1,K139,3)=0),"",OFFSET(Arkusz2!$A$1,K139,3))</f>
        <v>#N/A</v>
      </c>
    </row>
    <row r="140" spans="1:12" x14ac:dyDescent="0.25">
      <c r="A140" s="1">
        <v>3</v>
      </c>
      <c r="B140" t="s">
        <v>51</v>
      </c>
      <c r="C140" t="s">
        <v>198</v>
      </c>
      <c r="D140">
        <v>88042606978</v>
      </c>
      <c r="E140" t="s">
        <v>99</v>
      </c>
      <c r="F140" t="s">
        <v>360</v>
      </c>
      <c r="G140" s="6">
        <f t="shared" si="6"/>
        <v>32259</v>
      </c>
      <c r="H140" t="str">
        <f t="shared" si="7"/>
        <v>M</v>
      </c>
      <c r="I140" t="s">
        <v>392</v>
      </c>
      <c r="J140" s="7" t="str">
        <f t="shared" ca="1" si="8"/>
        <v>604241304</v>
      </c>
      <c r="K140" s="7">
        <f t="array" ref="K140">MATCH(ConvertPolish2Latin(B140&amp;C140),Arkusz2!$A$2:$A$282&amp;Arkusz2!$B$2:$B$282,0)</f>
        <v>35</v>
      </c>
      <c r="L140" s="7" t="str">
        <f ca="1">IF(OR(ISERROR(OFFSET(Arkusz2!$A$1,K140,3)),OFFSET(Arkusz2!$A$1,K140,3)=0),"",OFFSET(Arkusz2!$A$1,K140,3))</f>
        <v>604241304</v>
      </c>
    </row>
    <row r="141" spans="1:12" x14ac:dyDescent="0.25">
      <c r="A141" s="1">
        <v>19</v>
      </c>
      <c r="B141" t="s">
        <v>170</v>
      </c>
      <c r="C141" t="s">
        <v>199</v>
      </c>
      <c r="D141">
        <v>87062203149</v>
      </c>
      <c r="E141" t="s">
        <v>99</v>
      </c>
      <c r="F141" t="s">
        <v>361</v>
      </c>
      <c r="G141" s="6">
        <f t="shared" si="6"/>
        <v>31950</v>
      </c>
      <c r="H141" t="str">
        <f t="shared" si="7"/>
        <v>F</v>
      </c>
      <c r="I141" t="s">
        <v>392</v>
      </c>
      <c r="J141" s="7" t="str">
        <f t="shared" ca="1" si="8"/>
        <v>784964901</v>
      </c>
      <c r="K141" s="7">
        <f t="array" ref="K141">MATCH(ConvertPolish2Latin(B141&amp;C141),Arkusz2!$A$2:$A$282&amp;Arkusz2!$B$2:$B$282,0)</f>
        <v>159</v>
      </c>
      <c r="L141" s="7" t="str">
        <f ca="1">IF(OR(ISERROR(OFFSET(Arkusz2!$A$1,K141,3)),OFFSET(Arkusz2!$A$1,K141,3)=0),"",OFFSET(Arkusz2!$A$1,K141,3))</f>
        <v>784964901</v>
      </c>
    </row>
    <row r="142" spans="1:12" x14ac:dyDescent="0.25">
      <c r="A142" s="1">
        <v>69</v>
      </c>
      <c r="B142" t="s">
        <v>139</v>
      </c>
      <c r="C142" t="s">
        <v>200</v>
      </c>
      <c r="D142">
        <v>88080501965</v>
      </c>
      <c r="E142" t="s">
        <v>99</v>
      </c>
      <c r="F142" t="s">
        <v>362</v>
      </c>
      <c r="G142" s="6">
        <f t="shared" si="6"/>
        <v>32360</v>
      </c>
      <c r="H142" t="str">
        <f t="shared" si="7"/>
        <v>F</v>
      </c>
      <c r="I142" t="s">
        <v>392</v>
      </c>
      <c r="J142" s="7" t="str">
        <f t="shared" ca="1" si="8"/>
        <v>668830252</v>
      </c>
      <c r="K142" s="7">
        <f t="array" ref="K142">MATCH(ConvertPolish2Latin(B142&amp;C142),Arkusz2!$A$2:$A$282&amp;Arkusz2!$B$2:$B$282,0)</f>
        <v>131</v>
      </c>
      <c r="L142" s="7" t="str">
        <f ca="1">IF(OR(ISERROR(OFFSET(Arkusz2!$A$1,K142,3)),OFFSET(Arkusz2!$A$1,K142,3)=0),"",OFFSET(Arkusz2!$A$1,K142,3))</f>
        <v>668830252</v>
      </c>
    </row>
    <row r="143" spans="1:12" x14ac:dyDescent="0.25">
      <c r="A143" s="1">
        <v>81</v>
      </c>
      <c r="B143" t="s">
        <v>73</v>
      </c>
      <c r="C143" t="s">
        <v>201</v>
      </c>
      <c r="D143">
        <v>86061506307</v>
      </c>
      <c r="E143" t="s">
        <v>99</v>
      </c>
      <c r="F143" t="s">
        <v>363</v>
      </c>
      <c r="G143" s="6">
        <f t="shared" si="6"/>
        <v>31578</v>
      </c>
      <c r="H143" t="str">
        <f t="shared" si="7"/>
        <v>F</v>
      </c>
      <c r="I143" t="s">
        <v>392</v>
      </c>
      <c r="J143" s="7" t="str">
        <f t="shared" ca="1" si="8"/>
        <v/>
      </c>
      <c r="K143" s="7" t="e">
        <f t="array" ref="K143">MATCH(ConvertPolish2Latin(B143&amp;C143),Arkusz2!$A$2:$A$282&amp;Arkusz2!$B$2:$B$282,0)</f>
        <v>#N/A</v>
      </c>
      <c r="L143" s="7" t="e">
        <f ca="1">IF(OR(ISERROR(OFFSET(Arkusz2!$A$1,K143,3)),OFFSET(Arkusz2!$A$1,K143,3)=0),"",OFFSET(Arkusz2!$A$1,K143,3))</f>
        <v>#N/A</v>
      </c>
    </row>
    <row r="144" spans="1:12" x14ac:dyDescent="0.25">
      <c r="A144" s="1">
        <v>123</v>
      </c>
      <c r="B144" t="s">
        <v>137</v>
      </c>
      <c r="C144" t="s">
        <v>202</v>
      </c>
      <c r="D144">
        <v>90081414980</v>
      </c>
      <c r="E144" t="s">
        <v>99</v>
      </c>
      <c r="F144" t="s">
        <v>364</v>
      </c>
      <c r="G144" s="6">
        <f t="shared" si="6"/>
        <v>33099</v>
      </c>
      <c r="H144" t="str">
        <f t="shared" si="7"/>
        <v>F</v>
      </c>
      <c r="I144" t="s">
        <v>392</v>
      </c>
      <c r="J144" s="7" t="str">
        <f t="shared" ca="1" si="8"/>
        <v/>
      </c>
      <c r="K144" s="7" t="e">
        <f t="array" ref="K144">MATCH(ConvertPolish2Latin(B144&amp;C144),Arkusz2!$A$2:$A$282&amp;Arkusz2!$B$2:$B$282,0)</f>
        <v>#N/A</v>
      </c>
      <c r="L144" s="7" t="e">
        <f ca="1">IF(OR(ISERROR(OFFSET(Arkusz2!$A$1,K144,3)),OFFSET(Arkusz2!$A$1,K144,3)=0),"",OFFSET(Arkusz2!$A$1,K144,3))</f>
        <v>#N/A</v>
      </c>
    </row>
    <row r="145" spans="1:12" x14ac:dyDescent="0.25">
      <c r="A145" s="1">
        <v>115</v>
      </c>
      <c r="B145" t="s">
        <v>63</v>
      </c>
      <c r="C145" t="s">
        <v>203</v>
      </c>
      <c r="D145">
        <v>87013103221</v>
      </c>
      <c r="E145" t="s">
        <v>99</v>
      </c>
      <c r="F145" t="s">
        <v>365</v>
      </c>
      <c r="G145" s="6">
        <f t="shared" si="6"/>
        <v>31808</v>
      </c>
      <c r="H145" t="str">
        <f t="shared" si="7"/>
        <v>F</v>
      </c>
      <c r="I145" t="s">
        <v>392</v>
      </c>
      <c r="J145" s="7" t="str">
        <f t="shared" ca="1" si="8"/>
        <v/>
      </c>
      <c r="K145" s="7">
        <f t="array" ref="K145">MATCH(ConvertPolish2Latin(B145&amp;C145),Arkusz2!$A$2:$A$282&amp;Arkusz2!$B$2:$B$282,0)</f>
        <v>126</v>
      </c>
      <c r="L145" s="7" t="str">
        <f ca="1">IF(OR(ISERROR(OFFSET(Arkusz2!$A$1,K145,3)),OFFSET(Arkusz2!$A$1,K145,3)=0),"",OFFSET(Arkusz2!$A$1,K145,3))</f>
        <v/>
      </c>
    </row>
    <row r="146" spans="1:12" x14ac:dyDescent="0.25">
      <c r="A146" s="1">
        <v>106</v>
      </c>
      <c r="B146" t="s">
        <v>204</v>
      </c>
      <c r="C146" t="s">
        <v>205</v>
      </c>
      <c r="D146">
        <v>88032704644</v>
      </c>
      <c r="E146" t="s">
        <v>99</v>
      </c>
      <c r="F146" t="s">
        <v>366</v>
      </c>
      <c r="G146" s="6">
        <f t="shared" si="6"/>
        <v>32229</v>
      </c>
      <c r="H146" t="str">
        <f t="shared" si="7"/>
        <v>F</v>
      </c>
      <c r="I146" t="s">
        <v>392</v>
      </c>
      <c r="J146" s="7" t="str">
        <f t="shared" ca="1" si="8"/>
        <v>795566956</v>
      </c>
      <c r="K146" s="7">
        <f t="array" ref="K146">MATCH(ConvertPolish2Latin(B146&amp;C146),Arkusz2!$A$2:$A$282&amp;Arkusz2!$B$2:$B$282,0)</f>
        <v>154</v>
      </c>
      <c r="L146" s="7" t="str">
        <f ca="1">IF(OR(ISERROR(OFFSET(Arkusz2!$A$1,K146,3)),OFFSET(Arkusz2!$A$1,K146,3)=0),"",OFFSET(Arkusz2!$A$1,K146,3))</f>
        <v>795566956</v>
      </c>
    </row>
    <row r="147" spans="1:12" x14ac:dyDescent="0.25">
      <c r="A147" s="1">
        <v>91</v>
      </c>
      <c r="B147" t="s">
        <v>206</v>
      </c>
      <c r="C147" t="s">
        <v>207</v>
      </c>
      <c r="D147">
        <v>89012403005</v>
      </c>
      <c r="E147" t="s">
        <v>99</v>
      </c>
      <c r="F147" t="s">
        <v>367</v>
      </c>
      <c r="G147" s="6">
        <f t="shared" si="6"/>
        <v>32532</v>
      </c>
      <c r="H147" t="str">
        <f t="shared" si="7"/>
        <v>F</v>
      </c>
      <c r="I147" t="s">
        <v>392</v>
      </c>
      <c r="J147" s="7" t="str">
        <f t="shared" ca="1" si="8"/>
        <v/>
      </c>
      <c r="K147" s="7">
        <f t="array" ref="K147">MATCH(ConvertPolish2Latin(B147&amp;C147),Arkusz2!$A$2:$A$282&amp;Arkusz2!$B$2:$B$282,0)</f>
        <v>123</v>
      </c>
      <c r="L147" s="7" t="str">
        <f ca="1">IF(OR(ISERROR(OFFSET(Arkusz2!$A$1,K147,3)),OFFSET(Arkusz2!$A$1,K147,3)=0),"",OFFSET(Arkusz2!$A$1,K147,3))</f>
        <v/>
      </c>
    </row>
    <row r="148" spans="1:12" x14ac:dyDescent="0.25">
      <c r="A148" s="1">
        <v>23</v>
      </c>
      <c r="B148" t="s">
        <v>15</v>
      </c>
      <c r="C148" t="s">
        <v>208</v>
      </c>
      <c r="D148">
        <v>83041300298</v>
      </c>
      <c r="E148" t="s">
        <v>7</v>
      </c>
      <c r="F148" t="s">
        <v>368</v>
      </c>
      <c r="G148" s="6">
        <f t="shared" si="6"/>
        <v>30419</v>
      </c>
      <c r="H148" t="str">
        <f t="shared" si="7"/>
        <v>M</v>
      </c>
      <c r="I148" t="s">
        <v>392</v>
      </c>
      <c r="J148" s="7" t="str">
        <f t="shared" ca="1" si="8"/>
        <v>606430055</v>
      </c>
      <c r="K148" s="7">
        <f t="array" ref="K148">MATCH(ConvertPolish2Latin(B148&amp;C148),Arkusz2!$A$2:$A$282&amp;Arkusz2!$B$2:$B$282,0)</f>
        <v>121</v>
      </c>
      <c r="L148" s="7" t="str">
        <f ca="1">IF(OR(ISERROR(OFFSET(Arkusz2!$A$1,K148,3)),OFFSET(Arkusz2!$A$1,K148,3)=0),"",OFFSET(Arkusz2!$A$1,K148,3))</f>
        <v>606430055</v>
      </c>
    </row>
    <row r="149" spans="1:12" x14ac:dyDescent="0.25">
      <c r="A149" s="1">
        <v>89</v>
      </c>
      <c r="B149" t="s">
        <v>209</v>
      </c>
      <c r="C149" t="s">
        <v>210</v>
      </c>
      <c r="D149">
        <v>88062313139</v>
      </c>
      <c r="E149" t="s">
        <v>99</v>
      </c>
      <c r="F149" t="s">
        <v>369</v>
      </c>
      <c r="G149" s="6">
        <f t="shared" si="6"/>
        <v>32317</v>
      </c>
      <c r="H149" t="str">
        <f t="shared" si="7"/>
        <v>M</v>
      </c>
      <c r="I149" t="s">
        <v>392</v>
      </c>
      <c r="J149" s="7" t="str">
        <f t="shared" ca="1" si="8"/>
        <v>660621554</v>
      </c>
      <c r="K149" s="7">
        <f t="array" ref="K149">MATCH(ConvertPolish2Latin(B149&amp;C149),Arkusz2!$A$2:$A$282&amp;Arkusz2!$B$2:$B$282,0)</f>
        <v>104</v>
      </c>
      <c r="L149" s="7" t="str">
        <f ca="1">IF(OR(ISERROR(OFFSET(Arkusz2!$A$1,K149,3)),OFFSET(Arkusz2!$A$1,K149,3)=0),"",OFFSET(Arkusz2!$A$1,K149,3))</f>
        <v>660621554</v>
      </c>
    </row>
    <row r="150" spans="1:12" x14ac:dyDescent="0.25">
      <c r="A150" s="1">
        <v>183</v>
      </c>
      <c r="B150" t="s">
        <v>98</v>
      </c>
      <c r="C150" t="s">
        <v>211</v>
      </c>
      <c r="D150">
        <v>87092306562</v>
      </c>
      <c r="E150" t="s">
        <v>99</v>
      </c>
      <c r="F150" t="s">
        <v>370</v>
      </c>
      <c r="G150" s="6">
        <f t="shared" si="6"/>
        <v>32043</v>
      </c>
      <c r="H150" t="str">
        <f t="shared" si="7"/>
        <v>F</v>
      </c>
      <c r="I150" t="s">
        <v>392</v>
      </c>
      <c r="J150" s="7" t="str">
        <f t="shared" ca="1" si="8"/>
        <v/>
      </c>
      <c r="K150" s="7">
        <f t="array" ref="K150">MATCH(ConvertPolish2Latin(B150&amp;C150),Arkusz2!$A$2:$A$282&amp;Arkusz2!$B$2:$B$282,0)</f>
        <v>6</v>
      </c>
      <c r="L150" s="7" t="str">
        <f ca="1">IF(OR(ISERROR(OFFSET(Arkusz2!$A$1,K150,3)),OFFSET(Arkusz2!$A$1,K150,3)=0),"",OFFSET(Arkusz2!$A$1,K150,3))</f>
        <v/>
      </c>
    </row>
    <row r="151" spans="1:12" x14ac:dyDescent="0.25">
      <c r="A151" s="1">
        <v>53</v>
      </c>
      <c r="B151" t="s">
        <v>212</v>
      </c>
      <c r="C151" t="s">
        <v>213</v>
      </c>
      <c r="D151">
        <v>88111202342</v>
      </c>
      <c r="E151" t="s">
        <v>99</v>
      </c>
      <c r="F151" t="s">
        <v>371</v>
      </c>
      <c r="G151" s="6">
        <f t="shared" si="6"/>
        <v>32459</v>
      </c>
      <c r="H151" t="str">
        <f t="shared" si="7"/>
        <v>F</v>
      </c>
      <c r="I151" t="s">
        <v>392</v>
      </c>
      <c r="J151" s="7" t="str">
        <f t="shared" ca="1" si="8"/>
        <v/>
      </c>
      <c r="K151" s="7">
        <f t="array" ref="K151">MATCH(ConvertPolish2Latin(B151&amp;C151),Arkusz2!$A$2:$A$282&amp;Arkusz2!$B$2:$B$282,0)</f>
        <v>134</v>
      </c>
      <c r="L151" s="7" t="str">
        <f ca="1">IF(OR(ISERROR(OFFSET(Arkusz2!$A$1,K151,3)),OFFSET(Arkusz2!$A$1,K151,3)=0),"",OFFSET(Arkusz2!$A$1,K151,3))</f>
        <v/>
      </c>
    </row>
    <row r="152" spans="1:12" x14ac:dyDescent="0.25">
      <c r="A152" s="1">
        <v>140</v>
      </c>
      <c r="B152" t="s">
        <v>69</v>
      </c>
      <c r="C152" t="s">
        <v>214</v>
      </c>
      <c r="D152">
        <v>79021301870</v>
      </c>
      <c r="E152" t="s">
        <v>7</v>
      </c>
      <c r="F152" t="s">
        <v>372</v>
      </c>
      <c r="G152" s="6">
        <f t="shared" si="6"/>
        <v>28899</v>
      </c>
      <c r="H152" t="str">
        <f t="shared" si="7"/>
        <v>M</v>
      </c>
      <c r="I152" t="s">
        <v>392</v>
      </c>
      <c r="J152" s="7" t="str">
        <f t="shared" ca="1" si="8"/>
        <v>605960364</v>
      </c>
      <c r="K152" s="7">
        <f t="array" ref="K152">MATCH(ConvertPolish2Latin(B152&amp;C152),Arkusz2!$A$2:$A$282&amp;Arkusz2!$B$2:$B$282,0)</f>
        <v>135</v>
      </c>
      <c r="L152" s="7" t="str">
        <f ca="1">IF(OR(ISERROR(OFFSET(Arkusz2!$A$1,K152,3)),OFFSET(Arkusz2!$A$1,K152,3)=0),"",OFFSET(Arkusz2!$A$1,K152,3))</f>
        <v>605960364</v>
      </c>
    </row>
    <row r="153" spans="1:12" x14ac:dyDescent="0.25">
      <c r="A153" s="1">
        <v>132</v>
      </c>
      <c r="B153" t="s">
        <v>95</v>
      </c>
      <c r="C153" t="s">
        <v>215</v>
      </c>
      <c r="D153">
        <v>79120612862</v>
      </c>
      <c r="E153" t="s">
        <v>7</v>
      </c>
      <c r="F153" t="s">
        <v>373</v>
      </c>
      <c r="G153" s="6">
        <f t="shared" si="6"/>
        <v>29195</v>
      </c>
      <c r="H153" t="str">
        <f t="shared" si="7"/>
        <v>F</v>
      </c>
      <c r="I153" t="s">
        <v>392</v>
      </c>
      <c r="J153" s="7" t="str">
        <f t="shared" ca="1" si="8"/>
        <v>668464372</v>
      </c>
      <c r="K153" s="7">
        <f t="array" ref="K153">MATCH(ConvertPolish2Latin(B153&amp;C153),Arkusz2!$A$2:$A$282&amp;Arkusz2!$B$2:$B$282,0)</f>
        <v>261</v>
      </c>
      <c r="L153" s="7" t="str">
        <f ca="1">IF(OR(ISERROR(OFFSET(Arkusz2!$A$1,K153,3)),OFFSET(Arkusz2!$A$1,K153,3)=0),"",OFFSET(Arkusz2!$A$1,K153,3))</f>
        <v>668464372</v>
      </c>
    </row>
    <row r="154" spans="1:12" x14ac:dyDescent="0.25">
      <c r="A154" s="1">
        <v>94</v>
      </c>
      <c r="B154" t="s">
        <v>10</v>
      </c>
      <c r="C154" t="s">
        <v>216</v>
      </c>
      <c r="D154">
        <v>88091104687</v>
      </c>
      <c r="E154" t="s">
        <v>99</v>
      </c>
      <c r="F154" t="s">
        <v>374</v>
      </c>
      <c r="G154" s="6">
        <f t="shared" si="6"/>
        <v>32397</v>
      </c>
      <c r="H154" t="str">
        <f t="shared" si="7"/>
        <v>F</v>
      </c>
      <c r="I154" t="s">
        <v>392</v>
      </c>
      <c r="J154" s="7" t="str">
        <f t="shared" ca="1" si="8"/>
        <v/>
      </c>
      <c r="K154" s="7">
        <f t="array" ref="K154">MATCH(ConvertPolish2Latin(B154&amp;C154),Arkusz2!$A$2:$A$282&amp;Arkusz2!$B$2:$B$282,0)</f>
        <v>22</v>
      </c>
      <c r="L154" s="7" t="str">
        <f ca="1">IF(OR(ISERROR(OFFSET(Arkusz2!$A$1,K154,3)),OFFSET(Arkusz2!$A$1,K154,3)=0),"",OFFSET(Arkusz2!$A$1,K154,3))</f>
        <v/>
      </c>
    </row>
    <row r="155" spans="1:12" x14ac:dyDescent="0.25">
      <c r="A155" s="1">
        <v>805</v>
      </c>
      <c r="B155" t="s">
        <v>63</v>
      </c>
      <c r="C155" t="s">
        <v>217</v>
      </c>
      <c r="D155">
        <v>85012818683</v>
      </c>
      <c r="E155" t="s">
        <v>99</v>
      </c>
      <c r="F155" t="s">
        <v>375</v>
      </c>
      <c r="G155" s="6">
        <f t="shared" si="6"/>
        <v>31075</v>
      </c>
      <c r="H155" t="str">
        <f t="shared" si="7"/>
        <v>F</v>
      </c>
      <c r="I155" t="s">
        <v>392</v>
      </c>
      <c r="J155" s="7" t="str">
        <f t="shared" ca="1" si="8"/>
        <v>660621563</v>
      </c>
      <c r="K155" s="7">
        <f t="array" ref="K155">MATCH(ConvertPolish2Latin(B155&amp;C155),Arkusz2!$A$2:$A$282&amp;Arkusz2!$B$2:$B$282,0)</f>
        <v>114</v>
      </c>
      <c r="L155" s="7" t="str">
        <f ca="1">IF(OR(ISERROR(OFFSET(Arkusz2!$A$1,K155,3)),OFFSET(Arkusz2!$A$1,K155,3)=0),"",OFFSET(Arkusz2!$A$1,K155,3))</f>
        <v>660621563</v>
      </c>
    </row>
    <row r="156" spans="1:12" x14ac:dyDescent="0.25">
      <c r="A156" s="1">
        <v>127</v>
      </c>
      <c r="B156" t="s">
        <v>63</v>
      </c>
      <c r="C156" t="s">
        <v>217</v>
      </c>
      <c r="D156">
        <v>85012818683</v>
      </c>
      <c r="E156" t="s">
        <v>99</v>
      </c>
      <c r="F156" t="s">
        <v>375</v>
      </c>
      <c r="G156" s="6">
        <f t="shared" si="6"/>
        <v>31075</v>
      </c>
      <c r="H156" t="str">
        <f t="shared" si="7"/>
        <v>F</v>
      </c>
      <c r="I156" t="s">
        <v>392</v>
      </c>
      <c r="J156" s="7" t="str">
        <f t="shared" ca="1" si="8"/>
        <v>660621563</v>
      </c>
      <c r="K156" s="7">
        <f t="array" ref="K156">MATCH(ConvertPolish2Latin(B156&amp;C156),Arkusz2!$A$2:$A$282&amp;Arkusz2!$B$2:$B$282,0)</f>
        <v>114</v>
      </c>
      <c r="L156" s="7" t="str">
        <f ca="1">IF(OR(ISERROR(OFFSET(Arkusz2!$A$1,K156,3)),OFFSET(Arkusz2!$A$1,K156,3)=0),"",OFFSET(Arkusz2!$A$1,K156,3))</f>
        <v>660621563</v>
      </c>
    </row>
    <row r="157" spans="1:12" x14ac:dyDescent="0.25">
      <c r="A157" s="1">
        <v>124</v>
      </c>
      <c r="B157" t="s">
        <v>59</v>
      </c>
      <c r="C157" t="s">
        <v>218</v>
      </c>
      <c r="D157">
        <v>88060411242</v>
      </c>
      <c r="E157" t="s">
        <v>7</v>
      </c>
      <c r="F157" t="s">
        <v>376</v>
      </c>
      <c r="G157" s="6">
        <f t="shared" si="6"/>
        <v>32298</v>
      </c>
      <c r="H157" t="str">
        <f t="shared" si="7"/>
        <v>F</v>
      </c>
      <c r="I157" t="s">
        <v>392</v>
      </c>
      <c r="J157" s="7" t="str">
        <f t="shared" ca="1" si="8"/>
        <v>660621575</v>
      </c>
      <c r="K157" s="7">
        <f t="array" ref="K157">MATCH(ConvertPolish2Latin(B157&amp;C157),Arkusz2!$A$2:$A$282&amp;Arkusz2!$B$2:$B$282,0)</f>
        <v>47</v>
      </c>
      <c r="L157" s="7" t="str">
        <f ca="1">IF(OR(ISERROR(OFFSET(Arkusz2!$A$1,K157,3)),OFFSET(Arkusz2!$A$1,K157,3)=0),"",OFFSET(Arkusz2!$A$1,K157,3))</f>
        <v>660621575</v>
      </c>
    </row>
    <row r="158" spans="1:12" x14ac:dyDescent="0.25">
      <c r="A158" s="1">
        <v>233</v>
      </c>
      <c r="B158" t="s">
        <v>219</v>
      </c>
      <c r="C158" t="s">
        <v>220</v>
      </c>
      <c r="D158">
        <v>83021600587</v>
      </c>
      <c r="E158" t="s">
        <v>7</v>
      </c>
      <c r="F158" t="s">
        <v>377</v>
      </c>
      <c r="G158" s="6">
        <f t="shared" si="6"/>
        <v>30363</v>
      </c>
      <c r="H158" t="str">
        <f t="shared" si="7"/>
        <v>F</v>
      </c>
      <c r="I158" t="s">
        <v>392</v>
      </c>
      <c r="J158" s="7" t="str">
        <f t="shared" ca="1" si="8"/>
        <v>784020169</v>
      </c>
      <c r="K158" s="7">
        <f t="array" ref="K158">MATCH(ConvertPolish2Latin(B158&amp;C158),Arkusz2!$A$2:$A$282&amp;Arkusz2!$B$2:$B$282,0)</f>
        <v>272</v>
      </c>
      <c r="L158" s="7" t="str">
        <f ca="1">IF(OR(ISERROR(OFFSET(Arkusz2!$A$1,K158,3)),OFFSET(Arkusz2!$A$1,K158,3)=0),"",OFFSET(Arkusz2!$A$1,K158,3))</f>
        <v>784020169</v>
      </c>
    </row>
    <row r="159" spans="1:12" x14ac:dyDescent="0.25">
      <c r="A159" s="1">
        <v>234</v>
      </c>
      <c r="B159" t="s">
        <v>13</v>
      </c>
      <c r="C159" t="s">
        <v>221</v>
      </c>
      <c r="D159">
        <v>82102900291</v>
      </c>
      <c r="E159" t="s">
        <v>7</v>
      </c>
      <c r="F159" t="s">
        <v>378</v>
      </c>
      <c r="G159" s="6">
        <f t="shared" si="6"/>
        <v>30253</v>
      </c>
      <c r="H159" t="str">
        <f t="shared" si="7"/>
        <v>M</v>
      </c>
      <c r="I159" t="s">
        <v>392</v>
      </c>
      <c r="J159" s="7" t="str">
        <f t="shared" ca="1" si="8"/>
        <v>660621553</v>
      </c>
      <c r="K159" s="7">
        <f t="array" ref="K159">MATCH(ConvertPolish2Latin(B159&amp;C159),Arkusz2!$A$2:$A$282&amp;Arkusz2!$B$2:$B$282,0)</f>
        <v>15</v>
      </c>
      <c r="L159" s="7" t="str">
        <f ca="1">IF(OR(ISERROR(OFFSET(Arkusz2!$A$1,K159,3)),OFFSET(Arkusz2!$A$1,K159,3)=0),"",OFFSET(Arkusz2!$A$1,K159,3))</f>
        <v>660621553</v>
      </c>
    </row>
    <row r="160" spans="1:12" x14ac:dyDescent="0.25">
      <c r="A160" s="1">
        <v>945</v>
      </c>
      <c r="B160" t="s">
        <v>84</v>
      </c>
      <c r="C160" t="s">
        <v>222</v>
      </c>
      <c r="D160">
        <v>82070600241</v>
      </c>
      <c r="E160" t="s">
        <v>7</v>
      </c>
      <c r="F160" t="s">
        <v>379</v>
      </c>
      <c r="G160" s="6">
        <f t="shared" si="6"/>
        <v>30138</v>
      </c>
      <c r="H160" t="str">
        <f t="shared" si="7"/>
        <v>F</v>
      </c>
      <c r="I160" t="s">
        <v>392</v>
      </c>
      <c r="J160" s="7" t="str">
        <f t="shared" ca="1" si="8"/>
        <v/>
      </c>
      <c r="K160" s="7" t="e">
        <f t="array" ref="K160">MATCH(ConvertPolish2Latin(B160&amp;C160),Arkusz2!$A$2:$A$282&amp;Arkusz2!$B$2:$B$282,0)</f>
        <v>#N/A</v>
      </c>
      <c r="L160" s="7" t="e">
        <f ca="1">IF(OR(ISERROR(OFFSET(Arkusz2!$A$1,K160,3)),OFFSET(Arkusz2!$A$1,K160,3)=0),"",OFFSET(Arkusz2!$A$1,K160,3))</f>
        <v>#N/A</v>
      </c>
    </row>
    <row r="161" spans="1:12" x14ac:dyDescent="0.25">
      <c r="A161" s="1">
        <v>640</v>
      </c>
      <c r="B161" t="s">
        <v>5</v>
      </c>
      <c r="C161" t="s">
        <v>223</v>
      </c>
      <c r="D161">
        <v>76100413385</v>
      </c>
      <c r="E161" t="s">
        <v>7</v>
      </c>
      <c r="F161" t="s">
        <v>380</v>
      </c>
      <c r="G161" s="6">
        <f t="shared" si="6"/>
        <v>28037</v>
      </c>
      <c r="H161" t="str">
        <f t="shared" si="7"/>
        <v>F</v>
      </c>
      <c r="I161" t="s">
        <v>392</v>
      </c>
      <c r="J161" s="7" t="str">
        <f t="shared" ca="1" si="8"/>
        <v/>
      </c>
      <c r="K161" s="7" t="e">
        <f t="array" ref="K161">MATCH(ConvertPolish2Latin(B161&amp;C161),Arkusz2!$A$2:$A$282&amp;Arkusz2!$B$2:$B$282,0)</f>
        <v>#N/A</v>
      </c>
      <c r="L161" s="7" t="e">
        <f ca="1">IF(OR(ISERROR(OFFSET(Arkusz2!$A$1,K161,3)),OFFSET(Arkusz2!$A$1,K161,3)=0),"",OFFSET(Arkusz2!$A$1,K161,3))</f>
        <v>#N/A</v>
      </c>
    </row>
    <row r="162" spans="1:12" x14ac:dyDescent="0.25">
      <c r="A162" s="1">
        <v>946</v>
      </c>
      <c r="B162" t="s">
        <v>224</v>
      </c>
      <c r="C162" t="s">
        <v>225</v>
      </c>
      <c r="D162">
        <v>81022812352</v>
      </c>
      <c r="E162" t="s">
        <v>7</v>
      </c>
      <c r="F162" t="s">
        <v>381</v>
      </c>
      <c r="G162" s="6">
        <f t="shared" si="6"/>
        <v>29645</v>
      </c>
      <c r="H162" t="str">
        <f t="shared" si="7"/>
        <v>M</v>
      </c>
      <c r="I162" t="s">
        <v>392</v>
      </c>
      <c r="J162" s="7" t="str">
        <f t="shared" ca="1" si="8"/>
        <v>660621562</v>
      </c>
      <c r="K162" s="7">
        <f t="array" ref="K162">MATCH(ConvertPolish2Latin(B162&amp;C162),Arkusz2!$A$2:$A$282&amp;Arkusz2!$B$2:$B$282,0)</f>
        <v>217</v>
      </c>
      <c r="L162" s="7" t="str">
        <f ca="1">IF(OR(ISERROR(OFFSET(Arkusz2!$A$1,K162,3)),OFFSET(Arkusz2!$A$1,K162,3)=0),"",OFFSET(Arkusz2!$A$1,K162,3))</f>
        <v>660621562</v>
      </c>
    </row>
    <row r="163" spans="1:12" x14ac:dyDescent="0.25">
      <c r="A163" s="1">
        <v>947</v>
      </c>
      <c r="B163" t="s">
        <v>93</v>
      </c>
      <c r="C163" t="s">
        <v>226</v>
      </c>
      <c r="D163">
        <v>83030804105</v>
      </c>
      <c r="E163" t="s">
        <v>7</v>
      </c>
      <c r="F163" t="s">
        <v>382</v>
      </c>
      <c r="G163" s="6">
        <f t="shared" si="6"/>
        <v>30383</v>
      </c>
      <c r="H163" t="str">
        <f t="shared" si="7"/>
        <v>F</v>
      </c>
      <c r="I163" t="s">
        <v>392</v>
      </c>
      <c r="J163" s="7" t="str">
        <f t="shared" ca="1" si="8"/>
        <v/>
      </c>
      <c r="K163" s="7" t="e">
        <f t="array" ref="K163">MATCH(ConvertPolish2Latin(B163&amp;C163),Arkusz2!$A$2:$A$282&amp;Arkusz2!$B$2:$B$282,0)</f>
        <v>#N/A</v>
      </c>
      <c r="L163" s="7" t="e">
        <f ca="1">IF(OR(ISERROR(OFFSET(Arkusz2!$A$1,K163,3)),OFFSET(Arkusz2!$A$1,K163,3)=0),"",OFFSET(Arkusz2!$A$1,K163,3))</f>
        <v>#N/A</v>
      </c>
    </row>
    <row r="164" spans="1:12" x14ac:dyDescent="0.25">
      <c r="A164" s="1">
        <v>948</v>
      </c>
      <c r="B164" t="s">
        <v>21</v>
      </c>
      <c r="C164" t="s">
        <v>227</v>
      </c>
      <c r="D164">
        <v>84072800230</v>
      </c>
      <c r="E164" t="s">
        <v>7</v>
      </c>
      <c r="F164" t="s">
        <v>383</v>
      </c>
      <c r="G164" s="6">
        <f t="shared" si="6"/>
        <v>30891</v>
      </c>
      <c r="H164" t="str">
        <f t="shared" si="7"/>
        <v>M</v>
      </c>
      <c r="I164" t="s">
        <v>392</v>
      </c>
      <c r="J164" s="7" t="str">
        <f t="shared" ca="1" si="8"/>
        <v>660621556</v>
      </c>
      <c r="K164" s="7">
        <f t="array" ref="K164">MATCH(ConvertPolish2Latin(B164&amp;C164),Arkusz2!$A$2:$A$282&amp;Arkusz2!$B$2:$B$282,0)</f>
        <v>252</v>
      </c>
      <c r="L164" s="7" t="str">
        <f ca="1">IF(OR(ISERROR(OFFSET(Arkusz2!$A$1,K164,3)),OFFSET(Arkusz2!$A$1,K164,3)=0),"",OFFSET(Arkusz2!$A$1,K164,3))</f>
        <v>660621556</v>
      </c>
    </row>
  </sheetData>
  <hyperlinks>
    <hyperlink ref="F12" r:id="rId1"/>
    <hyperlink ref="F42" r:id="rId2"/>
    <hyperlink ref="F44" r:id="rId3"/>
  </hyperlinks>
  <pageMargins left="0.7" right="0.7" top="0.75" bottom="0.75" header="0.3" footer="0.3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D282"/>
  <sheetViews>
    <sheetView topLeftCell="A228" workbookViewId="0">
      <selection activeCell="D261" sqref="D261"/>
    </sheetView>
  </sheetViews>
  <sheetFormatPr defaultRowHeight="15" x14ac:dyDescent="0.25"/>
  <cols>
    <col min="1" max="1" width="15.28515625" customWidth="1"/>
    <col min="2" max="2" width="15" customWidth="1"/>
    <col min="3" max="3" width="22.5703125" bestFit="1" customWidth="1"/>
    <col min="4" max="4" width="15.28515625" bestFit="1" customWidth="1"/>
  </cols>
  <sheetData>
    <row r="1" spans="1:4" x14ac:dyDescent="0.25">
      <c r="A1" s="8" t="s">
        <v>393</v>
      </c>
      <c r="B1" s="8" t="s">
        <v>394</v>
      </c>
      <c r="C1" s="8" t="s">
        <v>395</v>
      </c>
      <c r="D1" s="9" t="s">
        <v>396</v>
      </c>
    </row>
    <row r="2" spans="1:4" x14ac:dyDescent="0.25">
      <c r="A2" s="7" t="s">
        <v>397</v>
      </c>
      <c r="B2" s="7" t="s">
        <v>398</v>
      </c>
      <c r="C2" s="7" t="s">
        <v>399</v>
      </c>
      <c r="D2" s="7"/>
    </row>
    <row r="3" spans="1:4" x14ac:dyDescent="0.25">
      <c r="A3" s="7" t="s">
        <v>400</v>
      </c>
      <c r="B3" s="7" t="s">
        <v>401</v>
      </c>
      <c r="C3" s="7" t="s">
        <v>402</v>
      </c>
      <c r="D3" s="7"/>
    </row>
    <row r="4" spans="1:4" x14ac:dyDescent="0.25">
      <c r="A4" s="7" t="s">
        <v>403</v>
      </c>
      <c r="B4" s="7" t="s">
        <v>404</v>
      </c>
      <c r="C4" s="7" t="s">
        <v>405</v>
      </c>
      <c r="D4" s="10" t="s">
        <v>1042</v>
      </c>
    </row>
    <row r="5" spans="1:4" x14ac:dyDescent="0.25">
      <c r="A5" s="7" t="s">
        <v>406</v>
      </c>
      <c r="B5" s="7" t="s">
        <v>407</v>
      </c>
      <c r="C5" s="7" t="s">
        <v>408</v>
      </c>
      <c r="D5" s="10" t="s">
        <v>1043</v>
      </c>
    </row>
    <row r="6" spans="1:4" x14ac:dyDescent="0.25">
      <c r="A6" s="7" t="s">
        <v>409</v>
      </c>
      <c r="B6" s="7" t="s">
        <v>410</v>
      </c>
      <c r="C6" s="7" t="s">
        <v>411</v>
      </c>
      <c r="D6" s="7"/>
    </row>
    <row r="7" spans="1:4" x14ac:dyDescent="0.25">
      <c r="A7" s="7" t="s">
        <v>400</v>
      </c>
      <c r="B7" s="7" t="s">
        <v>412</v>
      </c>
      <c r="C7" s="7" t="s">
        <v>413</v>
      </c>
      <c r="D7" s="7"/>
    </row>
    <row r="8" spans="1:4" x14ac:dyDescent="0.25">
      <c r="A8" s="7" t="s">
        <v>406</v>
      </c>
      <c r="B8" s="7" t="s">
        <v>414</v>
      </c>
      <c r="C8" s="7" t="s">
        <v>415</v>
      </c>
      <c r="D8" s="7"/>
    </row>
    <row r="9" spans="1:4" x14ac:dyDescent="0.25">
      <c r="A9" s="7" t="s">
        <v>416</v>
      </c>
      <c r="B9" s="7" t="s">
        <v>417</v>
      </c>
      <c r="C9" s="7" t="s">
        <v>418</v>
      </c>
      <c r="D9" s="10" t="s">
        <v>1044</v>
      </c>
    </row>
    <row r="10" spans="1:4" x14ac:dyDescent="0.25">
      <c r="A10" s="7" t="s">
        <v>419</v>
      </c>
      <c r="B10" s="7" t="s">
        <v>420</v>
      </c>
      <c r="C10" s="7" t="s">
        <v>421</v>
      </c>
      <c r="D10" s="10" t="s">
        <v>1045</v>
      </c>
    </row>
    <row r="11" spans="1:4" x14ac:dyDescent="0.25">
      <c r="A11" s="7" t="s">
        <v>422</v>
      </c>
      <c r="B11" s="7" t="s">
        <v>423</v>
      </c>
      <c r="C11" s="7" t="s">
        <v>424</v>
      </c>
      <c r="D11" s="10" t="s">
        <v>1046</v>
      </c>
    </row>
    <row r="12" spans="1:4" x14ac:dyDescent="0.25">
      <c r="A12" s="7" t="s">
        <v>425</v>
      </c>
      <c r="B12" s="7" t="s">
        <v>426</v>
      </c>
      <c r="C12" s="7" t="s">
        <v>427</v>
      </c>
      <c r="D12" s="10" t="s">
        <v>1047</v>
      </c>
    </row>
    <row r="13" spans="1:4" x14ac:dyDescent="0.25">
      <c r="A13" s="7" t="s">
        <v>428</v>
      </c>
      <c r="B13" s="7" t="s">
        <v>429</v>
      </c>
      <c r="C13" s="7" t="s">
        <v>430</v>
      </c>
      <c r="D13" s="7"/>
    </row>
    <row r="14" spans="1:4" x14ac:dyDescent="0.25">
      <c r="A14" s="7" t="s">
        <v>431</v>
      </c>
      <c r="B14" s="7" t="s">
        <v>432</v>
      </c>
      <c r="C14" s="7" t="s">
        <v>433</v>
      </c>
      <c r="D14" s="7"/>
    </row>
    <row r="15" spans="1:4" x14ac:dyDescent="0.25">
      <c r="A15" s="7" t="s">
        <v>400</v>
      </c>
      <c r="B15" s="7" t="s">
        <v>434</v>
      </c>
      <c r="C15" s="7" t="s">
        <v>435</v>
      </c>
      <c r="D15" s="7"/>
    </row>
    <row r="16" spans="1:4" x14ac:dyDescent="0.25">
      <c r="A16" s="7" t="s">
        <v>436</v>
      </c>
      <c r="B16" s="7" t="s">
        <v>437</v>
      </c>
      <c r="C16" s="7" t="s">
        <v>438</v>
      </c>
      <c r="D16" s="10" t="s">
        <v>1048</v>
      </c>
    </row>
    <row r="17" spans="1:4" x14ac:dyDescent="0.25">
      <c r="A17" s="7" t="s">
        <v>439</v>
      </c>
      <c r="B17" s="7" t="s">
        <v>440</v>
      </c>
      <c r="C17" s="7" t="s">
        <v>441</v>
      </c>
      <c r="D17" s="10" t="s">
        <v>1049</v>
      </c>
    </row>
    <row r="18" spans="1:4" x14ac:dyDescent="0.25">
      <c r="A18" s="7" t="s">
        <v>442</v>
      </c>
      <c r="B18" s="7" t="s">
        <v>443</v>
      </c>
      <c r="C18" s="7" t="s">
        <v>444</v>
      </c>
      <c r="D18" s="7"/>
    </row>
    <row r="19" spans="1:4" x14ac:dyDescent="0.25">
      <c r="A19" s="7" t="s">
        <v>445</v>
      </c>
      <c r="B19" s="7" t="s">
        <v>446</v>
      </c>
      <c r="C19" s="7" t="s">
        <v>447</v>
      </c>
      <c r="D19" s="7"/>
    </row>
    <row r="20" spans="1:4" x14ac:dyDescent="0.25">
      <c r="A20" s="7" t="s">
        <v>448</v>
      </c>
      <c r="B20" s="7" t="s">
        <v>449</v>
      </c>
      <c r="C20" s="7" t="s">
        <v>450</v>
      </c>
      <c r="D20" s="7"/>
    </row>
    <row r="21" spans="1:4" x14ac:dyDescent="0.25">
      <c r="A21" s="7" t="s">
        <v>409</v>
      </c>
      <c r="B21" s="7" t="s">
        <v>451</v>
      </c>
      <c r="C21" s="7" t="s">
        <v>452</v>
      </c>
      <c r="D21" s="7"/>
    </row>
    <row r="22" spans="1:4" x14ac:dyDescent="0.25">
      <c r="A22" s="7" t="s">
        <v>409</v>
      </c>
      <c r="B22" s="7" t="s">
        <v>453</v>
      </c>
      <c r="C22" s="7" t="s">
        <v>454</v>
      </c>
      <c r="D22" s="10" t="s">
        <v>1050</v>
      </c>
    </row>
    <row r="23" spans="1:4" x14ac:dyDescent="0.25">
      <c r="A23" s="7" t="s">
        <v>8</v>
      </c>
      <c r="B23" s="7" t="s">
        <v>455</v>
      </c>
      <c r="C23" s="7" t="s">
        <v>456</v>
      </c>
      <c r="D23" s="7"/>
    </row>
    <row r="24" spans="1:4" x14ac:dyDescent="0.25">
      <c r="A24" s="7" t="s">
        <v>457</v>
      </c>
      <c r="B24" s="7" t="s">
        <v>458</v>
      </c>
      <c r="C24" s="7" t="s">
        <v>459</v>
      </c>
      <c r="D24" s="10" t="s">
        <v>1051</v>
      </c>
    </row>
    <row r="25" spans="1:4" x14ac:dyDescent="0.25">
      <c r="A25" s="7" t="s">
        <v>460</v>
      </c>
      <c r="B25" s="7" t="s">
        <v>455</v>
      </c>
      <c r="C25" s="7" t="s">
        <v>461</v>
      </c>
      <c r="D25" s="10" t="s">
        <v>1052</v>
      </c>
    </row>
    <row r="26" spans="1:4" x14ac:dyDescent="0.25">
      <c r="A26" s="7" t="s">
        <v>462</v>
      </c>
      <c r="B26" s="7" t="s">
        <v>463</v>
      </c>
      <c r="C26" s="7" t="s">
        <v>464</v>
      </c>
      <c r="D26" s="10" t="s">
        <v>1053</v>
      </c>
    </row>
    <row r="27" spans="1:4" x14ac:dyDescent="0.25">
      <c r="A27" s="7" t="s">
        <v>465</v>
      </c>
      <c r="B27" s="7" t="s">
        <v>466</v>
      </c>
      <c r="C27" s="7" t="s">
        <v>467</v>
      </c>
      <c r="D27" s="7"/>
    </row>
    <row r="28" spans="1:4" x14ac:dyDescent="0.25">
      <c r="A28" s="7" t="s">
        <v>448</v>
      </c>
      <c r="B28" s="7" t="s">
        <v>468</v>
      </c>
      <c r="C28" s="7" t="s">
        <v>469</v>
      </c>
      <c r="D28" s="10" t="s">
        <v>1054</v>
      </c>
    </row>
    <row r="29" spans="1:4" x14ac:dyDescent="0.25">
      <c r="A29" s="7" t="s">
        <v>428</v>
      </c>
      <c r="B29" s="7" t="s">
        <v>470</v>
      </c>
      <c r="C29" s="7" t="s">
        <v>471</v>
      </c>
      <c r="D29" s="7"/>
    </row>
    <row r="30" spans="1:4" x14ac:dyDescent="0.25">
      <c r="A30" s="7" t="s">
        <v>472</v>
      </c>
      <c r="B30" s="7" t="s">
        <v>473</v>
      </c>
      <c r="C30" s="7" t="s">
        <v>474</v>
      </c>
      <c r="D30" s="7"/>
    </row>
    <row r="31" spans="1:4" x14ac:dyDescent="0.25">
      <c r="A31" s="7" t="s">
        <v>475</v>
      </c>
      <c r="B31" s="7" t="s">
        <v>476</v>
      </c>
      <c r="C31" s="7" t="s">
        <v>477</v>
      </c>
      <c r="D31" s="7"/>
    </row>
    <row r="32" spans="1:4" x14ac:dyDescent="0.25">
      <c r="A32" s="7" t="s">
        <v>419</v>
      </c>
      <c r="B32" s="7" t="s">
        <v>478</v>
      </c>
      <c r="C32" s="7" t="s">
        <v>479</v>
      </c>
      <c r="D32" s="10" t="s">
        <v>1055</v>
      </c>
    </row>
    <row r="33" spans="1:4" x14ac:dyDescent="0.25">
      <c r="A33" s="7" t="s">
        <v>400</v>
      </c>
      <c r="B33" s="7" t="s">
        <v>480</v>
      </c>
      <c r="C33" s="7" t="s">
        <v>481</v>
      </c>
      <c r="D33" s="10" t="s">
        <v>1056</v>
      </c>
    </row>
    <row r="34" spans="1:4" x14ac:dyDescent="0.25">
      <c r="A34" s="7" t="s">
        <v>448</v>
      </c>
      <c r="B34" s="7" t="s">
        <v>482</v>
      </c>
      <c r="C34" s="7" t="s">
        <v>483</v>
      </c>
      <c r="D34" s="10" t="s">
        <v>1057</v>
      </c>
    </row>
    <row r="35" spans="1:4" x14ac:dyDescent="0.25">
      <c r="A35" s="7" t="s">
        <v>484</v>
      </c>
      <c r="B35" s="7" t="s">
        <v>485</v>
      </c>
      <c r="C35" s="7" t="s">
        <v>486</v>
      </c>
      <c r="D35" s="10" t="s">
        <v>1058</v>
      </c>
    </row>
    <row r="36" spans="1:4" x14ac:dyDescent="0.25">
      <c r="A36" s="7" t="s">
        <v>487</v>
      </c>
      <c r="B36" s="7" t="s">
        <v>488</v>
      </c>
      <c r="C36" s="7" t="s">
        <v>489</v>
      </c>
      <c r="D36" s="10" t="s">
        <v>1059</v>
      </c>
    </row>
    <row r="37" spans="1:4" x14ac:dyDescent="0.25">
      <c r="A37" s="7" t="s">
        <v>400</v>
      </c>
      <c r="B37" s="7" t="s">
        <v>490</v>
      </c>
      <c r="C37" s="7" t="s">
        <v>491</v>
      </c>
      <c r="D37" s="7"/>
    </row>
    <row r="38" spans="1:4" x14ac:dyDescent="0.25">
      <c r="A38" s="7" t="s">
        <v>492</v>
      </c>
      <c r="B38" s="7" t="s">
        <v>493</v>
      </c>
      <c r="C38" s="7" t="s">
        <v>494</v>
      </c>
      <c r="D38" s="10" t="s">
        <v>1060</v>
      </c>
    </row>
    <row r="39" spans="1:4" x14ac:dyDescent="0.25">
      <c r="A39" s="7" t="s">
        <v>495</v>
      </c>
      <c r="B39" s="7" t="s">
        <v>496</v>
      </c>
      <c r="C39" s="7" t="s">
        <v>497</v>
      </c>
      <c r="D39" s="10" t="s">
        <v>1061</v>
      </c>
    </row>
    <row r="40" spans="1:4" x14ac:dyDescent="0.25">
      <c r="A40" s="7" t="s">
        <v>498</v>
      </c>
      <c r="B40" s="7" t="s">
        <v>499</v>
      </c>
      <c r="C40" s="7" t="s">
        <v>500</v>
      </c>
      <c r="D40" s="10" t="s">
        <v>1062</v>
      </c>
    </row>
    <row r="41" spans="1:4" x14ac:dyDescent="0.25">
      <c r="A41" s="7" t="s">
        <v>460</v>
      </c>
      <c r="B41" s="7" t="s">
        <v>501</v>
      </c>
      <c r="C41" s="7" t="s">
        <v>502</v>
      </c>
      <c r="D41" s="7"/>
    </row>
    <row r="42" spans="1:4" x14ac:dyDescent="0.25">
      <c r="A42" s="7" t="s">
        <v>503</v>
      </c>
      <c r="B42" s="7" t="s">
        <v>504</v>
      </c>
      <c r="C42" s="7" t="s">
        <v>505</v>
      </c>
      <c r="D42" s="7"/>
    </row>
    <row r="43" spans="1:4" x14ac:dyDescent="0.25">
      <c r="A43" s="7" t="s">
        <v>406</v>
      </c>
      <c r="B43" s="7" t="s">
        <v>506</v>
      </c>
      <c r="C43" s="7" t="s">
        <v>507</v>
      </c>
      <c r="D43" s="10" t="s">
        <v>1063</v>
      </c>
    </row>
    <row r="44" spans="1:4" x14ac:dyDescent="0.25">
      <c r="A44" s="7" t="s">
        <v>508</v>
      </c>
      <c r="B44" s="7" t="s">
        <v>509</v>
      </c>
      <c r="C44" s="7" t="s">
        <v>510</v>
      </c>
      <c r="D44" s="7"/>
    </row>
    <row r="45" spans="1:4" x14ac:dyDescent="0.25">
      <c r="A45" s="7" t="s">
        <v>511</v>
      </c>
      <c r="B45" s="7" t="s">
        <v>512</v>
      </c>
      <c r="C45" s="7" t="s">
        <v>513</v>
      </c>
      <c r="D45" s="7"/>
    </row>
    <row r="46" spans="1:4" x14ac:dyDescent="0.25">
      <c r="A46" s="7" t="s">
        <v>514</v>
      </c>
      <c r="B46" s="7" t="s">
        <v>515</v>
      </c>
      <c r="C46" s="7" t="s">
        <v>516</v>
      </c>
      <c r="D46" s="7"/>
    </row>
    <row r="47" spans="1:4" x14ac:dyDescent="0.25">
      <c r="A47" s="7" t="s">
        <v>517</v>
      </c>
      <c r="B47" s="7" t="s">
        <v>518</v>
      </c>
      <c r="C47" s="7" t="s">
        <v>519</v>
      </c>
      <c r="D47" s="10" t="s">
        <v>1064</v>
      </c>
    </row>
    <row r="48" spans="1:4" x14ac:dyDescent="0.25">
      <c r="A48" s="7" t="s">
        <v>484</v>
      </c>
      <c r="B48" s="7" t="s">
        <v>520</v>
      </c>
      <c r="C48" s="7" t="s">
        <v>521</v>
      </c>
      <c r="D48" s="10" t="s">
        <v>1065</v>
      </c>
    </row>
    <row r="49" spans="1:4" x14ac:dyDescent="0.25">
      <c r="A49" s="7" t="s">
        <v>522</v>
      </c>
      <c r="B49" s="7" t="s">
        <v>523</v>
      </c>
      <c r="C49" s="7" t="s">
        <v>524</v>
      </c>
      <c r="D49" s="10" t="s">
        <v>1066</v>
      </c>
    </row>
    <row r="50" spans="1:4" x14ac:dyDescent="0.25">
      <c r="A50" s="7" t="s">
        <v>8</v>
      </c>
      <c r="B50" s="7" t="s">
        <v>525</v>
      </c>
      <c r="C50" s="7" t="s">
        <v>526</v>
      </c>
      <c r="D50" s="7"/>
    </row>
    <row r="51" spans="1:4" x14ac:dyDescent="0.25">
      <c r="A51" s="7" t="s">
        <v>472</v>
      </c>
      <c r="B51" s="7" t="s">
        <v>527</v>
      </c>
      <c r="C51" s="7" t="s">
        <v>528</v>
      </c>
      <c r="D51" s="10" t="s">
        <v>1067</v>
      </c>
    </row>
    <row r="52" spans="1:4" x14ac:dyDescent="0.25">
      <c r="A52" s="7" t="s">
        <v>529</v>
      </c>
      <c r="B52" s="7" t="s">
        <v>488</v>
      </c>
      <c r="C52" s="7" t="s">
        <v>530</v>
      </c>
      <c r="D52" s="7"/>
    </row>
    <row r="53" spans="1:4" x14ac:dyDescent="0.25">
      <c r="A53" s="7" t="s">
        <v>484</v>
      </c>
      <c r="B53" s="7" t="s">
        <v>531</v>
      </c>
      <c r="C53" s="7" t="s">
        <v>532</v>
      </c>
      <c r="D53" s="7"/>
    </row>
    <row r="54" spans="1:4" x14ac:dyDescent="0.25">
      <c r="A54" s="7" t="s">
        <v>460</v>
      </c>
      <c r="B54" s="7" t="s">
        <v>533</v>
      </c>
      <c r="C54" s="7" t="s">
        <v>534</v>
      </c>
      <c r="D54" s="10" t="s">
        <v>1068</v>
      </c>
    </row>
    <row r="55" spans="1:4" x14ac:dyDescent="0.25">
      <c r="A55" s="7" t="s">
        <v>416</v>
      </c>
      <c r="B55" s="7" t="s">
        <v>535</v>
      </c>
      <c r="C55" s="7" t="s">
        <v>536</v>
      </c>
      <c r="D55" s="10" t="s">
        <v>1069</v>
      </c>
    </row>
    <row r="56" spans="1:4" x14ac:dyDescent="0.25">
      <c r="A56" s="7" t="s">
        <v>460</v>
      </c>
      <c r="B56" s="7" t="s">
        <v>537</v>
      </c>
      <c r="C56" s="7" t="s">
        <v>538</v>
      </c>
      <c r="D56" s="7"/>
    </row>
    <row r="57" spans="1:4" x14ac:dyDescent="0.25">
      <c r="A57" s="7" t="s">
        <v>539</v>
      </c>
      <c r="B57" s="7" t="s">
        <v>540</v>
      </c>
      <c r="C57" s="7" t="s">
        <v>541</v>
      </c>
      <c r="D57" s="7"/>
    </row>
    <row r="58" spans="1:4" x14ac:dyDescent="0.25">
      <c r="A58" s="7" t="s">
        <v>508</v>
      </c>
      <c r="B58" s="7" t="s">
        <v>542</v>
      </c>
      <c r="C58" s="7" t="s">
        <v>543</v>
      </c>
      <c r="D58" s="10" t="s">
        <v>1070</v>
      </c>
    </row>
    <row r="59" spans="1:4" x14ac:dyDescent="0.25">
      <c r="A59" s="7" t="s">
        <v>8</v>
      </c>
      <c r="B59" s="7" t="s">
        <v>544</v>
      </c>
      <c r="C59" s="7" t="s">
        <v>545</v>
      </c>
      <c r="D59" s="7"/>
    </row>
    <row r="60" spans="1:4" x14ac:dyDescent="0.25">
      <c r="A60" s="7" t="s">
        <v>448</v>
      </c>
      <c r="B60" s="7" t="s">
        <v>546</v>
      </c>
      <c r="C60" s="7" t="s">
        <v>547</v>
      </c>
      <c r="D60" s="7"/>
    </row>
    <row r="61" spans="1:4" x14ac:dyDescent="0.25">
      <c r="A61" s="7" t="s">
        <v>422</v>
      </c>
      <c r="B61" s="7" t="s">
        <v>548</v>
      </c>
      <c r="C61" s="7" t="s">
        <v>549</v>
      </c>
      <c r="D61" s="10" t="s">
        <v>1071</v>
      </c>
    </row>
    <row r="62" spans="1:4" x14ac:dyDescent="0.25">
      <c r="A62" s="7" t="s">
        <v>550</v>
      </c>
      <c r="B62" s="7" t="s">
        <v>551</v>
      </c>
      <c r="C62" s="7" t="s">
        <v>552</v>
      </c>
      <c r="D62" s="7"/>
    </row>
    <row r="63" spans="1:4" x14ac:dyDescent="0.25">
      <c r="A63" s="7" t="s">
        <v>472</v>
      </c>
      <c r="B63" s="7" t="s">
        <v>553</v>
      </c>
      <c r="C63" s="7" t="s">
        <v>554</v>
      </c>
      <c r="D63" s="10" t="s">
        <v>1072</v>
      </c>
    </row>
    <row r="64" spans="1:4" x14ac:dyDescent="0.25">
      <c r="A64" s="7" t="s">
        <v>403</v>
      </c>
      <c r="B64" s="7" t="s">
        <v>555</v>
      </c>
      <c r="C64" s="7" t="s">
        <v>556</v>
      </c>
      <c r="D64" s="10" t="s">
        <v>1073</v>
      </c>
    </row>
    <row r="65" spans="1:4" x14ac:dyDescent="0.25">
      <c r="A65" s="7" t="s">
        <v>557</v>
      </c>
      <c r="B65" s="7" t="s">
        <v>558</v>
      </c>
      <c r="C65" s="7" t="s">
        <v>559</v>
      </c>
      <c r="D65" s="10" t="s">
        <v>1074</v>
      </c>
    </row>
    <row r="66" spans="1:4" x14ac:dyDescent="0.25">
      <c r="A66" s="7" t="s">
        <v>484</v>
      </c>
      <c r="B66" s="7" t="s">
        <v>560</v>
      </c>
      <c r="C66" s="7" t="s">
        <v>561</v>
      </c>
      <c r="D66" s="7"/>
    </row>
    <row r="67" spans="1:4" x14ac:dyDescent="0.25">
      <c r="A67" s="7" t="s">
        <v>562</v>
      </c>
      <c r="B67" s="7" t="s">
        <v>563</v>
      </c>
      <c r="C67" s="7" t="s">
        <v>564</v>
      </c>
      <c r="D67" s="7"/>
    </row>
    <row r="68" spans="1:4" x14ac:dyDescent="0.25">
      <c r="A68" s="7" t="s">
        <v>487</v>
      </c>
      <c r="B68" s="7" t="s">
        <v>565</v>
      </c>
      <c r="C68" s="7" t="s">
        <v>566</v>
      </c>
      <c r="D68" s="10" t="s">
        <v>1075</v>
      </c>
    </row>
    <row r="69" spans="1:4" x14ac:dyDescent="0.25">
      <c r="A69" s="7" t="s">
        <v>484</v>
      </c>
      <c r="B69" s="7" t="s">
        <v>567</v>
      </c>
      <c r="C69" s="7" t="s">
        <v>568</v>
      </c>
      <c r="D69" s="10" t="s">
        <v>1076</v>
      </c>
    </row>
    <row r="70" spans="1:4" x14ac:dyDescent="0.25">
      <c r="A70" s="7" t="s">
        <v>569</v>
      </c>
      <c r="B70" s="7" t="s">
        <v>570</v>
      </c>
      <c r="C70" s="7" t="s">
        <v>571</v>
      </c>
      <c r="D70" s="7"/>
    </row>
    <row r="71" spans="1:4" x14ac:dyDescent="0.25">
      <c r="A71" s="7" t="s">
        <v>472</v>
      </c>
      <c r="B71" s="7" t="s">
        <v>572</v>
      </c>
      <c r="C71" s="7" t="s">
        <v>573</v>
      </c>
      <c r="D71" s="10" t="s">
        <v>1077</v>
      </c>
    </row>
    <row r="72" spans="1:4" x14ac:dyDescent="0.25">
      <c r="A72" s="7" t="s">
        <v>460</v>
      </c>
      <c r="B72" s="7" t="s">
        <v>574</v>
      </c>
      <c r="C72" s="7" t="s">
        <v>575</v>
      </c>
      <c r="D72" s="7"/>
    </row>
    <row r="73" spans="1:4" x14ac:dyDescent="0.25">
      <c r="A73" s="7" t="s">
        <v>448</v>
      </c>
      <c r="B73" s="7" t="s">
        <v>576</v>
      </c>
      <c r="C73" s="7" t="s">
        <v>577</v>
      </c>
      <c r="D73" s="10" t="s">
        <v>1078</v>
      </c>
    </row>
    <row r="74" spans="1:4" x14ac:dyDescent="0.25">
      <c r="A74" s="7" t="s">
        <v>484</v>
      </c>
      <c r="B74" s="7" t="s">
        <v>578</v>
      </c>
      <c r="C74" s="7" t="s">
        <v>579</v>
      </c>
      <c r="D74" s="7"/>
    </row>
    <row r="75" spans="1:4" x14ac:dyDescent="0.25">
      <c r="A75" s="7" t="s">
        <v>580</v>
      </c>
      <c r="B75" s="7" t="s">
        <v>581</v>
      </c>
      <c r="C75" s="7" t="s">
        <v>582</v>
      </c>
      <c r="D75" s="10" t="s">
        <v>1079</v>
      </c>
    </row>
    <row r="76" spans="1:4" x14ac:dyDescent="0.25">
      <c r="A76" s="7" t="s">
        <v>522</v>
      </c>
      <c r="B76" s="7" t="s">
        <v>583</v>
      </c>
      <c r="C76" s="7" t="s">
        <v>584</v>
      </c>
      <c r="D76" s="10" t="s">
        <v>1080</v>
      </c>
    </row>
    <row r="77" spans="1:4" x14ac:dyDescent="0.25">
      <c r="A77" s="7" t="s">
        <v>585</v>
      </c>
      <c r="B77" s="7" t="s">
        <v>586</v>
      </c>
      <c r="C77" s="7" t="s">
        <v>587</v>
      </c>
      <c r="D77" s="10" t="s">
        <v>1081</v>
      </c>
    </row>
    <row r="78" spans="1:4" x14ac:dyDescent="0.25">
      <c r="A78" s="7" t="s">
        <v>448</v>
      </c>
      <c r="B78" s="7" t="s">
        <v>588</v>
      </c>
      <c r="C78" s="7" t="s">
        <v>589</v>
      </c>
      <c r="D78" s="10" t="s">
        <v>1082</v>
      </c>
    </row>
    <row r="79" spans="1:4" x14ac:dyDescent="0.25">
      <c r="A79" s="7" t="s">
        <v>436</v>
      </c>
      <c r="B79" s="7" t="s">
        <v>590</v>
      </c>
      <c r="C79" s="7" t="s">
        <v>591</v>
      </c>
      <c r="D79" s="10" t="s">
        <v>1083</v>
      </c>
    </row>
    <row r="80" spans="1:4" x14ac:dyDescent="0.25">
      <c r="A80" s="7" t="s">
        <v>400</v>
      </c>
      <c r="B80" s="7" t="s">
        <v>592</v>
      </c>
      <c r="C80" s="7" t="s">
        <v>593</v>
      </c>
      <c r="D80" s="7"/>
    </row>
    <row r="81" spans="1:4" x14ac:dyDescent="0.25">
      <c r="A81" s="7" t="s">
        <v>594</v>
      </c>
      <c r="B81" s="7" t="s">
        <v>595</v>
      </c>
      <c r="C81" s="7" t="s">
        <v>596</v>
      </c>
      <c r="D81" s="10" t="s">
        <v>1084</v>
      </c>
    </row>
    <row r="82" spans="1:4" x14ac:dyDescent="0.25">
      <c r="A82" s="7" t="s">
        <v>597</v>
      </c>
      <c r="B82" s="7" t="s">
        <v>598</v>
      </c>
      <c r="C82" s="7" t="s">
        <v>599</v>
      </c>
      <c r="D82" s="10" t="s">
        <v>1085</v>
      </c>
    </row>
    <row r="83" spans="1:4" x14ac:dyDescent="0.25">
      <c r="A83" s="7" t="s">
        <v>462</v>
      </c>
      <c r="B83" s="7" t="s">
        <v>600</v>
      </c>
      <c r="C83" s="7" t="s">
        <v>601</v>
      </c>
      <c r="D83" s="10" t="s">
        <v>1086</v>
      </c>
    </row>
    <row r="84" spans="1:4" x14ac:dyDescent="0.25">
      <c r="A84" s="7" t="s">
        <v>602</v>
      </c>
      <c r="B84" s="7" t="s">
        <v>603</v>
      </c>
      <c r="C84" s="7" t="s">
        <v>604</v>
      </c>
      <c r="D84" s="7"/>
    </row>
    <row r="85" spans="1:4" x14ac:dyDescent="0.25">
      <c r="A85" s="7" t="s">
        <v>597</v>
      </c>
      <c r="B85" s="7" t="s">
        <v>605</v>
      </c>
      <c r="C85" s="7"/>
      <c r="D85" s="7"/>
    </row>
    <row r="86" spans="1:4" x14ac:dyDescent="0.25">
      <c r="A86" s="7" t="s">
        <v>557</v>
      </c>
      <c r="B86" s="7" t="s">
        <v>606</v>
      </c>
      <c r="C86" s="7" t="s">
        <v>607</v>
      </c>
      <c r="D86" s="7"/>
    </row>
    <row r="87" spans="1:4" x14ac:dyDescent="0.25">
      <c r="A87" s="7" t="s">
        <v>422</v>
      </c>
      <c r="B87" s="7" t="s">
        <v>608</v>
      </c>
      <c r="C87" s="7" t="s">
        <v>609</v>
      </c>
      <c r="D87" s="10" t="s">
        <v>1087</v>
      </c>
    </row>
    <row r="88" spans="1:4" x14ac:dyDescent="0.25">
      <c r="A88" s="7" t="s">
        <v>419</v>
      </c>
      <c r="B88" s="7" t="s">
        <v>610</v>
      </c>
      <c r="C88" s="7" t="s">
        <v>611</v>
      </c>
      <c r="D88" s="10" t="s">
        <v>1088</v>
      </c>
    </row>
    <row r="89" spans="1:4" x14ac:dyDescent="0.25">
      <c r="A89" s="7" t="s">
        <v>612</v>
      </c>
      <c r="B89" s="7" t="s">
        <v>613</v>
      </c>
      <c r="C89" s="7" t="s">
        <v>614</v>
      </c>
      <c r="D89" s="7"/>
    </row>
    <row r="90" spans="1:4" x14ac:dyDescent="0.25">
      <c r="A90" s="7" t="s">
        <v>615</v>
      </c>
      <c r="B90" s="7" t="s">
        <v>616</v>
      </c>
      <c r="C90" s="7" t="s">
        <v>617</v>
      </c>
      <c r="D90" s="7"/>
    </row>
    <row r="91" spans="1:4" x14ac:dyDescent="0.25">
      <c r="A91" s="7" t="s">
        <v>448</v>
      </c>
      <c r="B91" s="7" t="s">
        <v>618</v>
      </c>
      <c r="C91" s="7" t="s">
        <v>619</v>
      </c>
      <c r="D91" s="10" t="s">
        <v>1089</v>
      </c>
    </row>
    <row r="92" spans="1:4" x14ac:dyDescent="0.25">
      <c r="A92" s="7" t="s">
        <v>620</v>
      </c>
      <c r="B92" s="7" t="s">
        <v>621</v>
      </c>
      <c r="C92" s="7" t="s">
        <v>622</v>
      </c>
      <c r="D92" s="10" t="s">
        <v>1090</v>
      </c>
    </row>
    <row r="93" spans="1:4" x14ac:dyDescent="0.25">
      <c r="A93" s="7" t="s">
        <v>460</v>
      </c>
      <c r="B93" s="7" t="s">
        <v>623</v>
      </c>
      <c r="C93" s="7" t="s">
        <v>624</v>
      </c>
      <c r="D93" s="10" t="s">
        <v>1091</v>
      </c>
    </row>
    <row r="94" spans="1:4" x14ac:dyDescent="0.25">
      <c r="A94" s="7" t="s">
        <v>580</v>
      </c>
      <c r="B94" s="7" t="s">
        <v>625</v>
      </c>
      <c r="C94" s="7" t="s">
        <v>626</v>
      </c>
      <c r="D94" s="10" t="s">
        <v>1092</v>
      </c>
    </row>
    <row r="95" spans="1:4" x14ac:dyDescent="0.25">
      <c r="A95" s="7" t="s">
        <v>448</v>
      </c>
      <c r="B95" s="7" t="s">
        <v>627</v>
      </c>
      <c r="C95" s="7" t="s">
        <v>628</v>
      </c>
      <c r="D95" s="10" t="s">
        <v>1093</v>
      </c>
    </row>
    <row r="96" spans="1:4" x14ac:dyDescent="0.25">
      <c r="A96" s="7" t="s">
        <v>422</v>
      </c>
      <c r="B96" s="7" t="s">
        <v>629</v>
      </c>
      <c r="C96" s="7" t="s">
        <v>630</v>
      </c>
      <c r="D96" s="10" t="s">
        <v>1094</v>
      </c>
    </row>
    <row r="97" spans="1:4" x14ac:dyDescent="0.25">
      <c r="A97" s="7" t="s">
        <v>597</v>
      </c>
      <c r="B97" s="7" t="s">
        <v>631</v>
      </c>
      <c r="C97" s="7" t="s">
        <v>632</v>
      </c>
      <c r="D97" s="7"/>
    </row>
    <row r="98" spans="1:4" x14ac:dyDescent="0.25">
      <c r="A98" s="7" t="s">
        <v>633</v>
      </c>
      <c r="B98" s="7" t="s">
        <v>634</v>
      </c>
      <c r="C98" s="7" t="s">
        <v>635</v>
      </c>
      <c r="D98" s="7"/>
    </row>
    <row r="99" spans="1:4" x14ac:dyDescent="0.25">
      <c r="A99" s="7" t="s">
        <v>428</v>
      </c>
      <c r="B99" s="7" t="s">
        <v>636</v>
      </c>
      <c r="C99" s="7" t="s">
        <v>637</v>
      </c>
      <c r="D99" s="7"/>
    </row>
    <row r="100" spans="1:4" x14ac:dyDescent="0.25">
      <c r="A100" s="7" t="s">
        <v>409</v>
      </c>
      <c r="B100" s="7" t="s">
        <v>638</v>
      </c>
      <c r="C100" s="7" t="s">
        <v>639</v>
      </c>
      <c r="D100" s="10" t="s">
        <v>1095</v>
      </c>
    </row>
    <row r="101" spans="1:4" x14ac:dyDescent="0.25">
      <c r="A101" s="7" t="s">
        <v>640</v>
      </c>
      <c r="B101" s="7" t="s">
        <v>641</v>
      </c>
      <c r="C101" s="7" t="s">
        <v>642</v>
      </c>
      <c r="D101" s="7"/>
    </row>
    <row r="102" spans="1:4" x14ac:dyDescent="0.25">
      <c r="A102" s="7" t="s">
        <v>643</v>
      </c>
      <c r="B102" s="7" t="s">
        <v>644</v>
      </c>
      <c r="C102" s="7" t="s">
        <v>645</v>
      </c>
      <c r="D102" s="7"/>
    </row>
    <row r="103" spans="1:4" x14ac:dyDescent="0.25">
      <c r="A103" s="7" t="s">
        <v>646</v>
      </c>
      <c r="B103" s="7" t="s">
        <v>647</v>
      </c>
      <c r="C103" s="7" t="s">
        <v>648</v>
      </c>
      <c r="D103" s="7"/>
    </row>
    <row r="104" spans="1:4" x14ac:dyDescent="0.25">
      <c r="A104" s="7" t="s">
        <v>649</v>
      </c>
      <c r="B104" s="7" t="s">
        <v>650</v>
      </c>
      <c r="C104" s="7" t="s">
        <v>651</v>
      </c>
      <c r="D104" s="10" t="s">
        <v>1096</v>
      </c>
    </row>
    <row r="105" spans="1:4" x14ac:dyDescent="0.25">
      <c r="A105" s="7" t="s">
        <v>652</v>
      </c>
      <c r="B105" s="7" t="s">
        <v>653</v>
      </c>
      <c r="C105" s="7" t="s">
        <v>654</v>
      </c>
      <c r="D105" s="10" t="s">
        <v>1097</v>
      </c>
    </row>
    <row r="106" spans="1:4" x14ac:dyDescent="0.25">
      <c r="A106" s="7" t="s">
        <v>487</v>
      </c>
      <c r="B106" s="7" t="s">
        <v>655</v>
      </c>
      <c r="C106" s="7" t="s">
        <v>656</v>
      </c>
      <c r="D106" s="7"/>
    </row>
    <row r="107" spans="1:4" x14ac:dyDescent="0.25">
      <c r="A107" s="7" t="s">
        <v>8</v>
      </c>
      <c r="B107" s="7" t="s">
        <v>657</v>
      </c>
      <c r="C107" s="7" t="s">
        <v>658</v>
      </c>
      <c r="D107" s="7"/>
    </row>
    <row r="108" spans="1:4" x14ac:dyDescent="0.25">
      <c r="A108" s="7" t="s">
        <v>659</v>
      </c>
      <c r="B108" s="7" t="s">
        <v>660</v>
      </c>
      <c r="C108" s="7" t="s">
        <v>661</v>
      </c>
      <c r="D108" s="7"/>
    </row>
    <row r="109" spans="1:4" x14ac:dyDescent="0.25">
      <c r="A109" s="7" t="s">
        <v>498</v>
      </c>
      <c r="B109" s="7" t="s">
        <v>662</v>
      </c>
      <c r="C109" s="7" t="s">
        <v>663</v>
      </c>
      <c r="D109" s="10" t="s">
        <v>1098</v>
      </c>
    </row>
    <row r="110" spans="1:4" x14ac:dyDescent="0.25">
      <c r="A110" s="7" t="s">
        <v>664</v>
      </c>
      <c r="B110" s="7" t="s">
        <v>665</v>
      </c>
      <c r="C110" s="7" t="s">
        <v>666</v>
      </c>
      <c r="D110" s="10" t="s">
        <v>1099</v>
      </c>
    </row>
    <row r="111" spans="1:4" x14ac:dyDescent="0.25">
      <c r="A111" s="7" t="s">
        <v>667</v>
      </c>
      <c r="B111" s="7" t="s">
        <v>668</v>
      </c>
      <c r="C111" s="7" t="s">
        <v>669</v>
      </c>
      <c r="D111" s="7"/>
    </row>
    <row r="112" spans="1:4" x14ac:dyDescent="0.25">
      <c r="A112" s="7" t="s">
        <v>442</v>
      </c>
      <c r="B112" s="7" t="s">
        <v>670</v>
      </c>
      <c r="C112" s="7" t="s">
        <v>671</v>
      </c>
      <c r="D112" s="10" t="s">
        <v>1100</v>
      </c>
    </row>
    <row r="113" spans="1:4" x14ac:dyDescent="0.25">
      <c r="A113" s="7" t="s">
        <v>428</v>
      </c>
      <c r="B113" s="7" t="s">
        <v>672</v>
      </c>
      <c r="C113" s="7" t="s">
        <v>673</v>
      </c>
      <c r="D113" s="10" t="s">
        <v>1101</v>
      </c>
    </row>
    <row r="114" spans="1:4" x14ac:dyDescent="0.25">
      <c r="A114" s="7" t="s">
        <v>674</v>
      </c>
      <c r="B114" s="7" t="s">
        <v>675</v>
      </c>
      <c r="C114" s="7" t="s">
        <v>676</v>
      </c>
      <c r="D114" s="10" t="s">
        <v>1102</v>
      </c>
    </row>
    <row r="115" spans="1:4" x14ac:dyDescent="0.25">
      <c r="A115" s="7" t="s">
        <v>508</v>
      </c>
      <c r="B115" s="7" t="s">
        <v>512</v>
      </c>
      <c r="C115" s="7" t="s">
        <v>677</v>
      </c>
      <c r="D115" s="10" t="s">
        <v>1103</v>
      </c>
    </row>
    <row r="116" spans="1:4" x14ac:dyDescent="0.25">
      <c r="A116" s="7" t="s">
        <v>678</v>
      </c>
      <c r="B116" s="7" t="s">
        <v>679</v>
      </c>
      <c r="C116" s="7" t="s">
        <v>680</v>
      </c>
      <c r="D116" s="10" t="s">
        <v>1104</v>
      </c>
    </row>
    <row r="117" spans="1:4" x14ac:dyDescent="0.25">
      <c r="A117" s="7" t="s">
        <v>681</v>
      </c>
      <c r="B117" s="7" t="s">
        <v>504</v>
      </c>
      <c r="C117" s="7" t="s">
        <v>682</v>
      </c>
      <c r="D117" s="10" t="s">
        <v>1105</v>
      </c>
    </row>
    <row r="118" spans="1:4" x14ac:dyDescent="0.25">
      <c r="A118" s="7" t="s">
        <v>683</v>
      </c>
      <c r="B118" s="7" t="s">
        <v>684</v>
      </c>
      <c r="C118" s="7" t="s">
        <v>685</v>
      </c>
      <c r="D118" s="7"/>
    </row>
    <row r="119" spans="1:4" x14ac:dyDescent="0.25">
      <c r="A119" s="7" t="s">
        <v>484</v>
      </c>
      <c r="B119" s="7" t="s">
        <v>686</v>
      </c>
      <c r="C119" s="7" t="s">
        <v>687</v>
      </c>
      <c r="D119" s="10" t="s">
        <v>1106</v>
      </c>
    </row>
    <row r="120" spans="1:4" x14ac:dyDescent="0.25">
      <c r="A120" s="7" t="s">
        <v>688</v>
      </c>
      <c r="B120" s="7" t="s">
        <v>689</v>
      </c>
      <c r="C120" s="7" t="s">
        <v>690</v>
      </c>
      <c r="D120" s="7"/>
    </row>
    <row r="121" spans="1:4" x14ac:dyDescent="0.25">
      <c r="A121" s="7" t="s">
        <v>550</v>
      </c>
      <c r="B121" s="7" t="s">
        <v>691</v>
      </c>
      <c r="C121" s="7" t="s">
        <v>692</v>
      </c>
      <c r="D121" s="10" t="s">
        <v>1107</v>
      </c>
    </row>
    <row r="122" spans="1:4" x14ac:dyDescent="0.25">
      <c r="A122" s="7" t="s">
        <v>428</v>
      </c>
      <c r="B122" s="7" t="s">
        <v>693</v>
      </c>
      <c r="C122" s="7" t="s">
        <v>694</v>
      </c>
      <c r="D122" s="10" t="s">
        <v>1108</v>
      </c>
    </row>
    <row r="123" spans="1:4" x14ac:dyDescent="0.25">
      <c r="A123" s="7" t="s">
        <v>522</v>
      </c>
      <c r="B123" s="7" t="s">
        <v>695</v>
      </c>
      <c r="C123" s="7" t="s">
        <v>696</v>
      </c>
      <c r="D123" s="10" t="s">
        <v>1109</v>
      </c>
    </row>
    <row r="124" spans="1:4" x14ac:dyDescent="0.25">
      <c r="A124" s="7" t="s">
        <v>633</v>
      </c>
      <c r="B124" s="7" t="s">
        <v>697</v>
      </c>
      <c r="C124" s="7" t="s">
        <v>698</v>
      </c>
      <c r="D124" s="7"/>
    </row>
    <row r="125" spans="1:4" x14ac:dyDescent="0.25">
      <c r="A125" s="7" t="s">
        <v>699</v>
      </c>
      <c r="B125" s="7" t="s">
        <v>700</v>
      </c>
      <c r="C125" s="7" t="s">
        <v>701</v>
      </c>
      <c r="D125" s="10" t="s">
        <v>1110</v>
      </c>
    </row>
    <row r="126" spans="1:4" x14ac:dyDescent="0.25">
      <c r="A126" s="7" t="s">
        <v>448</v>
      </c>
      <c r="B126" s="7" t="s">
        <v>702</v>
      </c>
      <c r="C126" s="7" t="s">
        <v>703</v>
      </c>
      <c r="D126" s="10" t="s">
        <v>1111</v>
      </c>
    </row>
    <row r="127" spans="1:4" x14ac:dyDescent="0.25">
      <c r="A127" s="7" t="s">
        <v>508</v>
      </c>
      <c r="B127" s="7" t="s">
        <v>704</v>
      </c>
      <c r="C127" s="7" t="s">
        <v>705</v>
      </c>
      <c r="D127" s="7"/>
    </row>
    <row r="128" spans="1:4" x14ac:dyDescent="0.25">
      <c r="A128" s="7" t="s">
        <v>557</v>
      </c>
      <c r="B128" s="7" t="s">
        <v>706</v>
      </c>
      <c r="C128" s="7" t="s">
        <v>707</v>
      </c>
      <c r="D128" s="7"/>
    </row>
    <row r="129" spans="1:4" x14ac:dyDescent="0.25">
      <c r="A129" s="7" t="s">
        <v>484</v>
      </c>
      <c r="B129" s="7" t="s">
        <v>708</v>
      </c>
      <c r="C129" s="7" t="s">
        <v>709</v>
      </c>
      <c r="D129" s="7"/>
    </row>
    <row r="130" spans="1:4" x14ac:dyDescent="0.25">
      <c r="A130" s="7" t="s">
        <v>710</v>
      </c>
      <c r="B130" s="7" t="s">
        <v>711</v>
      </c>
      <c r="C130" s="7" t="s">
        <v>712</v>
      </c>
      <c r="D130" s="7"/>
    </row>
    <row r="131" spans="1:4" x14ac:dyDescent="0.25">
      <c r="A131" s="7" t="s">
        <v>422</v>
      </c>
      <c r="B131" s="7" t="s">
        <v>713</v>
      </c>
      <c r="C131" s="7" t="s">
        <v>714</v>
      </c>
      <c r="D131" s="7"/>
    </row>
    <row r="132" spans="1:4" x14ac:dyDescent="0.25">
      <c r="A132" s="7" t="s">
        <v>715</v>
      </c>
      <c r="B132" s="7" t="s">
        <v>716</v>
      </c>
      <c r="C132" s="7" t="s">
        <v>717</v>
      </c>
      <c r="D132" s="10" t="s">
        <v>1112</v>
      </c>
    </row>
    <row r="133" spans="1:4" x14ac:dyDescent="0.25">
      <c r="A133" s="7" t="s">
        <v>718</v>
      </c>
      <c r="B133" s="7" t="s">
        <v>719</v>
      </c>
      <c r="C133" s="7" t="s">
        <v>720</v>
      </c>
      <c r="D133" s="7"/>
    </row>
    <row r="134" spans="1:4" x14ac:dyDescent="0.25">
      <c r="A134" s="7" t="s">
        <v>721</v>
      </c>
      <c r="B134" s="7" t="s">
        <v>722</v>
      </c>
      <c r="C134" s="7" t="s">
        <v>723</v>
      </c>
      <c r="D134" s="10" t="s">
        <v>1113</v>
      </c>
    </row>
    <row r="135" spans="1:4" x14ac:dyDescent="0.25">
      <c r="A135" s="7" t="s">
        <v>724</v>
      </c>
      <c r="B135" s="7" t="s">
        <v>725</v>
      </c>
      <c r="C135" s="7" t="s">
        <v>726</v>
      </c>
      <c r="D135" s="7"/>
    </row>
    <row r="136" spans="1:4" x14ac:dyDescent="0.25">
      <c r="A136" s="7" t="s">
        <v>569</v>
      </c>
      <c r="B136" s="7" t="s">
        <v>727</v>
      </c>
      <c r="C136" s="7" t="s">
        <v>728</v>
      </c>
      <c r="D136" s="10" t="s">
        <v>1114</v>
      </c>
    </row>
    <row r="137" spans="1:4" x14ac:dyDescent="0.25">
      <c r="A137" s="7" t="s">
        <v>729</v>
      </c>
      <c r="B137" s="7" t="s">
        <v>730</v>
      </c>
      <c r="C137" s="7" t="s">
        <v>731</v>
      </c>
      <c r="D137" s="10" t="s">
        <v>1115</v>
      </c>
    </row>
    <row r="138" spans="1:4" x14ac:dyDescent="0.25">
      <c r="A138" s="7" t="s">
        <v>495</v>
      </c>
      <c r="B138" s="7" t="s">
        <v>732</v>
      </c>
      <c r="C138" s="7" t="s">
        <v>733</v>
      </c>
      <c r="D138" s="7"/>
    </row>
    <row r="139" spans="1:4" x14ac:dyDescent="0.25">
      <c r="A139" s="7" t="s">
        <v>508</v>
      </c>
      <c r="B139" s="7" t="s">
        <v>734</v>
      </c>
      <c r="C139" s="7" t="s">
        <v>735</v>
      </c>
      <c r="D139" s="10" t="s">
        <v>1116</v>
      </c>
    </row>
    <row r="140" spans="1:4" x14ac:dyDescent="0.25">
      <c r="A140" s="7" t="s">
        <v>460</v>
      </c>
      <c r="B140" s="7" t="s">
        <v>736</v>
      </c>
      <c r="C140" s="7" t="s">
        <v>737</v>
      </c>
      <c r="D140" s="7"/>
    </row>
    <row r="141" spans="1:4" x14ac:dyDescent="0.25">
      <c r="A141" s="7" t="s">
        <v>569</v>
      </c>
      <c r="B141" s="7" t="s">
        <v>738</v>
      </c>
      <c r="C141" s="7" t="s">
        <v>739</v>
      </c>
      <c r="D141" s="7"/>
    </row>
    <row r="142" spans="1:4" x14ac:dyDescent="0.25">
      <c r="A142" s="7" t="s">
        <v>403</v>
      </c>
      <c r="B142" s="7" t="s">
        <v>740</v>
      </c>
      <c r="C142" s="7" t="s">
        <v>741</v>
      </c>
      <c r="D142" s="10" t="s">
        <v>1117</v>
      </c>
    </row>
    <row r="143" spans="1:4" x14ac:dyDescent="0.25">
      <c r="A143" s="7" t="s">
        <v>448</v>
      </c>
      <c r="B143" s="7" t="s">
        <v>742</v>
      </c>
      <c r="C143" s="7" t="s">
        <v>743</v>
      </c>
      <c r="D143" s="7"/>
    </row>
    <row r="144" spans="1:4" x14ac:dyDescent="0.25">
      <c r="A144" s="7" t="s">
        <v>744</v>
      </c>
      <c r="B144" s="7" t="s">
        <v>745</v>
      </c>
      <c r="C144" s="7" t="s">
        <v>746</v>
      </c>
      <c r="D144" s="7"/>
    </row>
    <row r="145" spans="1:4" x14ac:dyDescent="0.25">
      <c r="A145" s="7" t="s">
        <v>457</v>
      </c>
      <c r="B145" s="7" t="s">
        <v>747</v>
      </c>
      <c r="C145" s="7" t="s">
        <v>748</v>
      </c>
      <c r="D145" s="10" t="s">
        <v>1118</v>
      </c>
    </row>
    <row r="146" spans="1:4" x14ac:dyDescent="0.25">
      <c r="A146" s="7" t="s">
        <v>749</v>
      </c>
      <c r="B146" s="7" t="s">
        <v>750</v>
      </c>
      <c r="C146" s="7" t="s">
        <v>751</v>
      </c>
      <c r="D146" s="10" t="s">
        <v>1119</v>
      </c>
    </row>
    <row r="147" spans="1:4" x14ac:dyDescent="0.25">
      <c r="A147" s="7" t="s">
        <v>428</v>
      </c>
      <c r="B147" s="7" t="s">
        <v>752</v>
      </c>
      <c r="C147" s="7" t="s">
        <v>753</v>
      </c>
      <c r="D147" s="10" t="s">
        <v>1120</v>
      </c>
    </row>
    <row r="148" spans="1:4" x14ac:dyDescent="0.25">
      <c r="A148" s="7" t="s">
        <v>754</v>
      </c>
      <c r="B148" s="7" t="s">
        <v>755</v>
      </c>
      <c r="C148" s="7" t="s">
        <v>756</v>
      </c>
      <c r="D148" s="7"/>
    </row>
    <row r="149" spans="1:4" x14ac:dyDescent="0.25">
      <c r="A149" s="7" t="s">
        <v>487</v>
      </c>
      <c r="B149" s="7" t="s">
        <v>757</v>
      </c>
      <c r="C149" s="7" t="s">
        <v>758</v>
      </c>
      <c r="D149" s="10" t="s">
        <v>1121</v>
      </c>
    </row>
    <row r="150" spans="1:4" x14ac:dyDescent="0.25">
      <c r="A150" s="7" t="s">
        <v>422</v>
      </c>
      <c r="B150" s="7" t="s">
        <v>759</v>
      </c>
      <c r="C150" s="7" t="s">
        <v>760</v>
      </c>
      <c r="D150" s="10" t="s">
        <v>1122</v>
      </c>
    </row>
    <row r="151" spans="1:4" x14ac:dyDescent="0.25">
      <c r="A151" s="7" t="s">
        <v>448</v>
      </c>
      <c r="B151" s="7" t="s">
        <v>761</v>
      </c>
      <c r="C151" s="7" t="s">
        <v>762</v>
      </c>
      <c r="D151" s="10" t="s">
        <v>1123</v>
      </c>
    </row>
    <row r="152" spans="1:4" x14ac:dyDescent="0.25">
      <c r="A152" s="7" t="s">
        <v>460</v>
      </c>
      <c r="B152" s="7" t="s">
        <v>763</v>
      </c>
      <c r="C152" s="7" t="s">
        <v>764</v>
      </c>
      <c r="D152" s="10" t="s">
        <v>1124</v>
      </c>
    </row>
    <row r="153" spans="1:4" x14ac:dyDescent="0.25">
      <c r="A153" s="7" t="s">
        <v>765</v>
      </c>
      <c r="B153" s="7" t="s">
        <v>766</v>
      </c>
      <c r="C153" s="7" t="s">
        <v>767</v>
      </c>
      <c r="D153" s="10" t="s">
        <v>1125</v>
      </c>
    </row>
    <row r="154" spans="1:4" x14ac:dyDescent="0.25">
      <c r="A154" s="7" t="s">
        <v>422</v>
      </c>
      <c r="B154" s="7" t="s">
        <v>768</v>
      </c>
      <c r="C154" s="7" t="s">
        <v>769</v>
      </c>
      <c r="D154" s="7"/>
    </row>
    <row r="155" spans="1:4" x14ac:dyDescent="0.25">
      <c r="A155" s="7" t="s">
        <v>770</v>
      </c>
      <c r="B155" s="7" t="s">
        <v>771</v>
      </c>
      <c r="C155" s="7" t="s">
        <v>772</v>
      </c>
      <c r="D155" s="10" t="s">
        <v>1126</v>
      </c>
    </row>
    <row r="156" spans="1:4" x14ac:dyDescent="0.25">
      <c r="A156" s="7" t="s">
        <v>508</v>
      </c>
      <c r="B156" s="7" t="s">
        <v>466</v>
      </c>
      <c r="C156" s="7" t="s">
        <v>773</v>
      </c>
      <c r="D156" s="7"/>
    </row>
    <row r="157" spans="1:4" x14ac:dyDescent="0.25">
      <c r="A157" s="7" t="s">
        <v>462</v>
      </c>
      <c r="B157" s="7" t="s">
        <v>774</v>
      </c>
      <c r="C157" s="7" t="s">
        <v>775</v>
      </c>
      <c r="D157" s="7"/>
    </row>
    <row r="158" spans="1:4" x14ac:dyDescent="0.25">
      <c r="A158" s="7" t="s">
        <v>585</v>
      </c>
      <c r="B158" s="7" t="s">
        <v>776</v>
      </c>
      <c r="C158" s="7" t="s">
        <v>777</v>
      </c>
      <c r="D158" s="7"/>
    </row>
    <row r="159" spans="1:4" x14ac:dyDescent="0.25">
      <c r="A159" s="7" t="s">
        <v>569</v>
      </c>
      <c r="B159" s="7" t="s">
        <v>778</v>
      </c>
      <c r="C159" s="7" t="s">
        <v>779</v>
      </c>
      <c r="D159" s="10" t="s">
        <v>1127</v>
      </c>
    </row>
    <row r="160" spans="1:4" x14ac:dyDescent="0.25">
      <c r="A160" s="7" t="s">
        <v>749</v>
      </c>
      <c r="B160" s="7" t="s">
        <v>780</v>
      </c>
      <c r="C160" s="7" t="s">
        <v>781</v>
      </c>
      <c r="D160" s="10" t="s">
        <v>1128</v>
      </c>
    </row>
    <row r="161" spans="1:4" x14ac:dyDescent="0.25">
      <c r="A161" s="7" t="s">
        <v>460</v>
      </c>
      <c r="B161" s="7" t="s">
        <v>782</v>
      </c>
      <c r="C161" s="7" t="s">
        <v>783</v>
      </c>
      <c r="D161" s="7"/>
    </row>
    <row r="162" spans="1:4" x14ac:dyDescent="0.25">
      <c r="A162" s="7" t="s">
        <v>678</v>
      </c>
      <c r="B162" s="7" t="s">
        <v>784</v>
      </c>
      <c r="C162" s="7" t="s">
        <v>785</v>
      </c>
      <c r="D162" s="10" t="s">
        <v>1129</v>
      </c>
    </row>
    <row r="163" spans="1:4" x14ac:dyDescent="0.25">
      <c r="A163" s="7" t="s">
        <v>786</v>
      </c>
      <c r="B163" s="7" t="s">
        <v>787</v>
      </c>
      <c r="C163" s="7" t="s">
        <v>788</v>
      </c>
      <c r="D163" s="10" t="s">
        <v>1130</v>
      </c>
    </row>
    <row r="164" spans="1:4" x14ac:dyDescent="0.25">
      <c r="A164" s="7" t="s">
        <v>400</v>
      </c>
      <c r="B164" s="7" t="s">
        <v>789</v>
      </c>
      <c r="C164" s="7" t="s">
        <v>790</v>
      </c>
      <c r="D164" s="7"/>
    </row>
    <row r="165" spans="1:4" x14ac:dyDescent="0.25">
      <c r="A165" s="7" t="s">
        <v>442</v>
      </c>
      <c r="B165" s="7" t="s">
        <v>791</v>
      </c>
      <c r="C165" s="7" t="s">
        <v>792</v>
      </c>
      <c r="D165" s="7"/>
    </row>
    <row r="166" spans="1:4" x14ac:dyDescent="0.25">
      <c r="A166" s="7" t="s">
        <v>436</v>
      </c>
      <c r="B166" s="7" t="s">
        <v>793</v>
      </c>
      <c r="C166" s="7" t="s">
        <v>794</v>
      </c>
      <c r="D166" s="7"/>
    </row>
    <row r="167" spans="1:4" x14ac:dyDescent="0.25">
      <c r="A167" s="7" t="s">
        <v>795</v>
      </c>
      <c r="B167" s="7" t="s">
        <v>796</v>
      </c>
      <c r="C167" s="7" t="s">
        <v>797</v>
      </c>
      <c r="D167" s="7"/>
    </row>
    <row r="168" spans="1:4" x14ac:dyDescent="0.25">
      <c r="A168" s="7" t="s">
        <v>503</v>
      </c>
      <c r="B168" s="7" t="s">
        <v>798</v>
      </c>
      <c r="C168" s="7" t="s">
        <v>799</v>
      </c>
      <c r="D168" s="10" t="s">
        <v>1131</v>
      </c>
    </row>
    <row r="169" spans="1:4" x14ac:dyDescent="0.25">
      <c r="A169" s="7" t="s">
        <v>8</v>
      </c>
      <c r="B169" s="7" t="s">
        <v>800</v>
      </c>
      <c r="C169" s="7" t="s">
        <v>801</v>
      </c>
      <c r="D169" s="7"/>
    </row>
    <row r="170" spans="1:4" x14ac:dyDescent="0.25">
      <c r="A170" s="7" t="s">
        <v>8</v>
      </c>
      <c r="B170" s="7" t="s">
        <v>802</v>
      </c>
      <c r="C170" s="7" t="s">
        <v>803</v>
      </c>
      <c r="D170" s="7"/>
    </row>
    <row r="171" spans="1:4" x14ac:dyDescent="0.25">
      <c r="A171" s="7" t="s">
        <v>804</v>
      </c>
      <c r="B171" s="7" t="s">
        <v>480</v>
      </c>
      <c r="C171" s="7" t="s">
        <v>805</v>
      </c>
      <c r="D171" s="10" t="s">
        <v>1132</v>
      </c>
    </row>
    <row r="172" spans="1:4" x14ac:dyDescent="0.25">
      <c r="A172" s="7" t="s">
        <v>806</v>
      </c>
      <c r="B172" s="7" t="s">
        <v>807</v>
      </c>
      <c r="C172" s="7" t="s">
        <v>808</v>
      </c>
      <c r="D172" s="10" t="s">
        <v>1133</v>
      </c>
    </row>
    <row r="173" spans="1:4" x14ac:dyDescent="0.25">
      <c r="A173" s="7" t="s">
        <v>436</v>
      </c>
      <c r="B173" s="7" t="s">
        <v>809</v>
      </c>
      <c r="C173" s="7" t="s">
        <v>810</v>
      </c>
      <c r="D173" s="10" t="s">
        <v>1134</v>
      </c>
    </row>
    <row r="174" spans="1:4" x14ac:dyDescent="0.25">
      <c r="A174" s="7" t="s">
        <v>439</v>
      </c>
      <c r="B174" s="7" t="s">
        <v>811</v>
      </c>
      <c r="C174" s="7" t="s">
        <v>812</v>
      </c>
      <c r="D174" s="10" t="s">
        <v>1135</v>
      </c>
    </row>
    <row r="175" spans="1:4" x14ac:dyDescent="0.25">
      <c r="A175" s="7" t="s">
        <v>448</v>
      </c>
      <c r="B175" s="7" t="s">
        <v>813</v>
      </c>
      <c r="C175" s="7" t="s">
        <v>814</v>
      </c>
      <c r="D175" s="10" t="s">
        <v>1136</v>
      </c>
    </row>
    <row r="176" spans="1:4" x14ac:dyDescent="0.25">
      <c r="A176" s="7" t="s">
        <v>422</v>
      </c>
      <c r="B176" s="7" t="s">
        <v>815</v>
      </c>
      <c r="C176" s="7" t="s">
        <v>816</v>
      </c>
      <c r="D176" s="7"/>
    </row>
    <row r="177" spans="1:4" x14ac:dyDescent="0.25">
      <c r="A177" s="7" t="s">
        <v>460</v>
      </c>
      <c r="B177" s="7" t="s">
        <v>817</v>
      </c>
      <c r="C177" s="7" t="s">
        <v>818</v>
      </c>
      <c r="D177" s="7"/>
    </row>
    <row r="178" spans="1:4" x14ac:dyDescent="0.25">
      <c r="A178" s="7" t="s">
        <v>819</v>
      </c>
      <c r="B178" s="7" t="s">
        <v>820</v>
      </c>
      <c r="C178" s="7" t="s">
        <v>821</v>
      </c>
      <c r="D178" s="10" t="s">
        <v>1137</v>
      </c>
    </row>
    <row r="179" spans="1:4" x14ac:dyDescent="0.25">
      <c r="A179" s="7" t="s">
        <v>822</v>
      </c>
      <c r="B179" s="7" t="s">
        <v>823</v>
      </c>
      <c r="C179" s="7" t="s">
        <v>824</v>
      </c>
      <c r="D179" s="10" t="s">
        <v>1138</v>
      </c>
    </row>
    <row r="180" spans="1:4" x14ac:dyDescent="0.25">
      <c r="A180" s="7" t="s">
        <v>529</v>
      </c>
      <c r="B180" s="7" t="s">
        <v>825</v>
      </c>
      <c r="C180" s="7" t="s">
        <v>826</v>
      </c>
      <c r="D180" s="7"/>
    </row>
    <row r="181" spans="1:4" x14ac:dyDescent="0.25">
      <c r="A181" s="7" t="s">
        <v>674</v>
      </c>
      <c r="B181" s="7" t="s">
        <v>827</v>
      </c>
      <c r="C181" s="7" t="s">
        <v>828</v>
      </c>
      <c r="D181" s="7"/>
    </row>
    <row r="182" spans="1:4" x14ac:dyDescent="0.25">
      <c r="A182" s="7" t="s">
        <v>602</v>
      </c>
      <c r="B182" s="7" t="s">
        <v>829</v>
      </c>
      <c r="C182" s="7" t="s">
        <v>830</v>
      </c>
      <c r="D182" s="7"/>
    </row>
    <row r="183" spans="1:4" x14ac:dyDescent="0.25">
      <c r="A183" s="7" t="s">
        <v>580</v>
      </c>
      <c r="B183" s="7" t="s">
        <v>831</v>
      </c>
      <c r="C183" s="7" t="s">
        <v>832</v>
      </c>
      <c r="D183" s="10" t="s">
        <v>1081</v>
      </c>
    </row>
    <row r="184" spans="1:4" x14ac:dyDescent="0.25">
      <c r="A184" s="7" t="s">
        <v>806</v>
      </c>
      <c r="B184" s="7" t="s">
        <v>833</v>
      </c>
      <c r="C184" s="7" t="s">
        <v>834</v>
      </c>
      <c r="D184" s="7"/>
    </row>
    <row r="185" spans="1:4" x14ac:dyDescent="0.25">
      <c r="A185" s="7" t="s">
        <v>835</v>
      </c>
      <c r="B185" s="7" t="s">
        <v>836</v>
      </c>
      <c r="C185" s="7" t="s">
        <v>837</v>
      </c>
      <c r="D185" s="7"/>
    </row>
    <row r="186" spans="1:4" x14ac:dyDescent="0.25">
      <c r="A186" s="7" t="s">
        <v>465</v>
      </c>
      <c r="B186" s="7" t="s">
        <v>838</v>
      </c>
      <c r="C186" s="7" t="s">
        <v>839</v>
      </c>
      <c r="D186" s="7"/>
    </row>
    <row r="187" spans="1:4" x14ac:dyDescent="0.25">
      <c r="A187" s="7" t="s">
        <v>406</v>
      </c>
      <c r="B187" s="7" t="s">
        <v>840</v>
      </c>
      <c r="C187" s="7" t="s">
        <v>841</v>
      </c>
      <c r="D187" s="7"/>
    </row>
    <row r="188" spans="1:4" x14ac:dyDescent="0.25">
      <c r="A188" s="7" t="s">
        <v>457</v>
      </c>
      <c r="B188" s="7" t="s">
        <v>842</v>
      </c>
      <c r="C188" s="7" t="s">
        <v>843</v>
      </c>
      <c r="D188" s="10" t="s">
        <v>1139</v>
      </c>
    </row>
    <row r="189" spans="1:4" x14ac:dyDescent="0.25">
      <c r="A189" s="7" t="s">
        <v>681</v>
      </c>
      <c r="B189" s="7" t="s">
        <v>844</v>
      </c>
      <c r="C189" s="7" t="s">
        <v>845</v>
      </c>
      <c r="D189" s="10" t="s">
        <v>1140</v>
      </c>
    </row>
    <row r="190" spans="1:4" x14ac:dyDescent="0.25">
      <c r="A190" s="7" t="s">
        <v>487</v>
      </c>
      <c r="B190" s="7" t="s">
        <v>846</v>
      </c>
      <c r="C190" s="7" t="s">
        <v>847</v>
      </c>
      <c r="D190" s="10" t="s">
        <v>1141</v>
      </c>
    </row>
    <row r="191" spans="1:4" x14ac:dyDescent="0.25">
      <c r="A191" s="7" t="s">
        <v>8</v>
      </c>
      <c r="B191" s="7" t="s">
        <v>848</v>
      </c>
      <c r="C191" s="7" t="s">
        <v>849</v>
      </c>
      <c r="D191" s="10" t="s">
        <v>1142</v>
      </c>
    </row>
    <row r="192" spans="1:4" x14ac:dyDescent="0.25">
      <c r="A192" s="7" t="s">
        <v>448</v>
      </c>
      <c r="B192" s="7" t="s">
        <v>850</v>
      </c>
      <c r="C192" s="7" t="s">
        <v>851</v>
      </c>
      <c r="D192" s="7"/>
    </row>
    <row r="193" spans="1:4" x14ac:dyDescent="0.25">
      <c r="A193" s="7" t="s">
        <v>508</v>
      </c>
      <c r="B193" s="7" t="s">
        <v>852</v>
      </c>
      <c r="C193" s="7" t="s">
        <v>853</v>
      </c>
      <c r="D193" s="10" t="s">
        <v>1143</v>
      </c>
    </row>
    <row r="194" spans="1:4" x14ac:dyDescent="0.25">
      <c r="A194" s="7" t="s">
        <v>462</v>
      </c>
      <c r="B194" s="7" t="s">
        <v>854</v>
      </c>
      <c r="C194" s="7" t="s">
        <v>855</v>
      </c>
      <c r="D194" s="7"/>
    </row>
    <row r="195" spans="1:4" x14ac:dyDescent="0.25">
      <c r="A195" s="7" t="s">
        <v>448</v>
      </c>
      <c r="B195" s="7" t="s">
        <v>856</v>
      </c>
      <c r="C195" s="7" t="s">
        <v>857</v>
      </c>
      <c r="D195" s="10" t="s">
        <v>1144</v>
      </c>
    </row>
    <row r="196" spans="1:4" x14ac:dyDescent="0.25">
      <c r="A196" s="7" t="s">
        <v>465</v>
      </c>
      <c r="B196" s="7" t="s">
        <v>858</v>
      </c>
      <c r="C196" s="7" t="s">
        <v>859</v>
      </c>
      <c r="D196" s="7"/>
    </row>
    <row r="197" spans="1:4" x14ac:dyDescent="0.25">
      <c r="A197" s="7" t="s">
        <v>860</v>
      </c>
      <c r="B197" s="7" t="s">
        <v>861</v>
      </c>
      <c r="C197" s="7" t="s">
        <v>862</v>
      </c>
      <c r="D197" s="7"/>
    </row>
    <row r="198" spans="1:4" x14ac:dyDescent="0.25">
      <c r="A198" s="7" t="s">
        <v>863</v>
      </c>
      <c r="B198" s="7" t="s">
        <v>864</v>
      </c>
      <c r="C198" s="7" t="s">
        <v>865</v>
      </c>
      <c r="D198" s="10" t="s">
        <v>1145</v>
      </c>
    </row>
    <row r="199" spans="1:4" x14ac:dyDescent="0.25">
      <c r="A199" s="7" t="s">
        <v>472</v>
      </c>
      <c r="B199" s="7" t="s">
        <v>866</v>
      </c>
      <c r="C199" s="7" t="s">
        <v>867</v>
      </c>
      <c r="D199" s="10" t="s">
        <v>1146</v>
      </c>
    </row>
    <row r="200" spans="1:4" x14ac:dyDescent="0.25">
      <c r="A200" s="7" t="s">
        <v>484</v>
      </c>
      <c r="B200" s="7" t="s">
        <v>647</v>
      </c>
      <c r="C200" s="7" t="s">
        <v>868</v>
      </c>
      <c r="D200" s="7"/>
    </row>
    <row r="201" spans="1:4" x14ac:dyDescent="0.25">
      <c r="A201" s="7" t="s">
        <v>445</v>
      </c>
      <c r="B201" s="7" t="s">
        <v>869</v>
      </c>
      <c r="C201" s="7" t="s">
        <v>870</v>
      </c>
      <c r="D201" s="10" t="s">
        <v>1147</v>
      </c>
    </row>
    <row r="202" spans="1:4" x14ac:dyDescent="0.25">
      <c r="A202" s="7" t="s">
        <v>436</v>
      </c>
      <c r="B202" s="7" t="s">
        <v>871</v>
      </c>
      <c r="C202" s="7" t="s">
        <v>872</v>
      </c>
      <c r="D202" s="10" t="s">
        <v>1148</v>
      </c>
    </row>
    <row r="203" spans="1:4" x14ac:dyDescent="0.25">
      <c r="A203" s="7" t="s">
        <v>873</v>
      </c>
      <c r="B203" s="7" t="s">
        <v>874</v>
      </c>
      <c r="C203" s="7" t="s">
        <v>875</v>
      </c>
      <c r="D203" s="7"/>
    </row>
    <row r="204" spans="1:4" x14ac:dyDescent="0.25">
      <c r="A204" s="7" t="s">
        <v>643</v>
      </c>
      <c r="B204" s="7" t="s">
        <v>876</v>
      </c>
      <c r="C204" s="7" t="s">
        <v>877</v>
      </c>
      <c r="D204" s="10" t="s">
        <v>1149</v>
      </c>
    </row>
    <row r="205" spans="1:4" x14ac:dyDescent="0.25">
      <c r="A205" s="7" t="s">
        <v>550</v>
      </c>
      <c r="B205" s="7" t="s">
        <v>878</v>
      </c>
      <c r="C205" s="7" t="s">
        <v>879</v>
      </c>
      <c r="D205" s="10" t="s">
        <v>1150</v>
      </c>
    </row>
    <row r="206" spans="1:4" x14ac:dyDescent="0.25">
      <c r="A206" s="7" t="s">
        <v>585</v>
      </c>
      <c r="B206" s="7" t="s">
        <v>880</v>
      </c>
      <c r="C206" s="7" t="s">
        <v>881</v>
      </c>
      <c r="D206" s="7"/>
    </row>
    <row r="207" spans="1:4" x14ac:dyDescent="0.25">
      <c r="A207" s="7" t="s">
        <v>8</v>
      </c>
      <c r="B207" s="7" t="s">
        <v>882</v>
      </c>
      <c r="C207" s="7" t="s">
        <v>883</v>
      </c>
      <c r="D207" s="10" t="s">
        <v>1151</v>
      </c>
    </row>
    <row r="208" spans="1:4" x14ac:dyDescent="0.25">
      <c r="A208" s="7" t="s">
        <v>729</v>
      </c>
      <c r="B208" s="7" t="s">
        <v>884</v>
      </c>
      <c r="C208" s="7" t="s">
        <v>885</v>
      </c>
      <c r="D208" s="10" t="s">
        <v>1152</v>
      </c>
    </row>
    <row r="209" spans="1:4" x14ac:dyDescent="0.25">
      <c r="A209" s="7" t="s">
        <v>8</v>
      </c>
      <c r="B209" s="7" t="s">
        <v>886</v>
      </c>
      <c r="C209" s="7" t="s">
        <v>887</v>
      </c>
      <c r="D209" s="7"/>
    </row>
    <row r="210" spans="1:4" x14ac:dyDescent="0.25">
      <c r="A210" s="7" t="s">
        <v>569</v>
      </c>
      <c r="B210" s="7" t="s">
        <v>888</v>
      </c>
      <c r="C210" s="7" t="s">
        <v>889</v>
      </c>
      <c r="D210" s="7"/>
    </row>
    <row r="211" spans="1:4" x14ac:dyDescent="0.25">
      <c r="A211" s="7" t="s">
        <v>484</v>
      </c>
      <c r="B211" s="7" t="s">
        <v>890</v>
      </c>
      <c r="C211" s="7" t="s">
        <v>891</v>
      </c>
      <c r="D211" s="10" t="s">
        <v>1153</v>
      </c>
    </row>
    <row r="212" spans="1:4" x14ac:dyDescent="0.25">
      <c r="A212" s="7" t="s">
        <v>667</v>
      </c>
      <c r="B212" s="7" t="s">
        <v>892</v>
      </c>
      <c r="C212" s="7" t="s">
        <v>893</v>
      </c>
      <c r="D212" s="7"/>
    </row>
    <row r="213" spans="1:4" x14ac:dyDescent="0.25">
      <c r="A213" s="7" t="s">
        <v>400</v>
      </c>
      <c r="B213" s="7" t="s">
        <v>523</v>
      </c>
      <c r="C213" s="7" t="s">
        <v>894</v>
      </c>
      <c r="D213" s="7"/>
    </row>
    <row r="214" spans="1:4" x14ac:dyDescent="0.25">
      <c r="A214" s="7" t="s">
        <v>721</v>
      </c>
      <c r="B214" s="7" t="s">
        <v>895</v>
      </c>
      <c r="C214" s="7" t="s">
        <v>896</v>
      </c>
      <c r="D214" s="10" t="s">
        <v>1154</v>
      </c>
    </row>
    <row r="215" spans="1:4" x14ac:dyDescent="0.25">
      <c r="A215" s="7" t="s">
        <v>897</v>
      </c>
      <c r="B215" s="7" t="s">
        <v>898</v>
      </c>
      <c r="C215" s="7" t="s">
        <v>899</v>
      </c>
      <c r="D215" s="7"/>
    </row>
    <row r="216" spans="1:4" x14ac:dyDescent="0.25">
      <c r="A216" s="7" t="s">
        <v>400</v>
      </c>
      <c r="B216" s="7" t="s">
        <v>900</v>
      </c>
      <c r="C216" s="7" t="s">
        <v>901</v>
      </c>
      <c r="D216" s="10" t="s">
        <v>1067</v>
      </c>
    </row>
    <row r="217" spans="1:4" x14ac:dyDescent="0.25">
      <c r="A217" s="7" t="s">
        <v>484</v>
      </c>
      <c r="B217" s="7" t="s">
        <v>902</v>
      </c>
      <c r="C217" s="7" t="s">
        <v>903</v>
      </c>
      <c r="D217" s="10" t="s">
        <v>1155</v>
      </c>
    </row>
    <row r="218" spans="1:4" x14ac:dyDescent="0.25">
      <c r="A218" s="7" t="s">
        <v>904</v>
      </c>
      <c r="B218" s="7" t="s">
        <v>905</v>
      </c>
      <c r="C218" s="7" t="s">
        <v>906</v>
      </c>
      <c r="D218" s="10" t="s">
        <v>1156</v>
      </c>
    </row>
    <row r="219" spans="1:4" x14ac:dyDescent="0.25">
      <c r="A219" s="7" t="s">
        <v>907</v>
      </c>
      <c r="B219" s="7" t="s">
        <v>908</v>
      </c>
      <c r="C219" s="7" t="s">
        <v>909</v>
      </c>
      <c r="D219" s="7"/>
    </row>
    <row r="220" spans="1:4" x14ac:dyDescent="0.25">
      <c r="A220" s="7" t="s">
        <v>910</v>
      </c>
      <c r="B220" s="7" t="s">
        <v>911</v>
      </c>
      <c r="C220" s="7" t="s">
        <v>912</v>
      </c>
      <c r="D220" s="7"/>
    </row>
    <row r="221" spans="1:4" x14ac:dyDescent="0.25">
      <c r="A221" s="7" t="s">
        <v>649</v>
      </c>
      <c r="B221" s="7" t="s">
        <v>844</v>
      </c>
      <c r="C221" s="7" t="s">
        <v>913</v>
      </c>
      <c r="D221" s="10" t="s">
        <v>1157</v>
      </c>
    </row>
    <row r="222" spans="1:4" x14ac:dyDescent="0.25">
      <c r="A222" s="7" t="s">
        <v>699</v>
      </c>
      <c r="B222" s="7" t="s">
        <v>914</v>
      </c>
      <c r="C222" s="7" t="s">
        <v>915</v>
      </c>
      <c r="D222" s="10" t="s">
        <v>1158</v>
      </c>
    </row>
    <row r="223" spans="1:4" x14ac:dyDescent="0.25">
      <c r="A223" s="7" t="s">
        <v>557</v>
      </c>
      <c r="B223" s="7" t="s">
        <v>916</v>
      </c>
      <c r="C223" s="7" t="s">
        <v>917</v>
      </c>
      <c r="D223" s="10" t="s">
        <v>1159</v>
      </c>
    </row>
    <row r="224" spans="1:4" x14ac:dyDescent="0.25">
      <c r="A224" s="7" t="s">
        <v>643</v>
      </c>
      <c r="B224" s="7" t="s">
        <v>918</v>
      </c>
      <c r="C224" s="7" t="s">
        <v>919</v>
      </c>
      <c r="D224" s="10" t="s">
        <v>1160</v>
      </c>
    </row>
    <row r="225" spans="1:4" x14ac:dyDescent="0.25">
      <c r="A225" s="7" t="s">
        <v>409</v>
      </c>
      <c r="B225" s="7" t="s">
        <v>920</v>
      </c>
      <c r="C225" s="7" t="s">
        <v>921</v>
      </c>
      <c r="D225" s="10" t="s">
        <v>1161</v>
      </c>
    </row>
    <row r="226" spans="1:4" x14ac:dyDescent="0.25">
      <c r="A226" s="7" t="s">
        <v>460</v>
      </c>
      <c r="B226" s="7" t="s">
        <v>922</v>
      </c>
      <c r="C226" s="7" t="s">
        <v>923</v>
      </c>
      <c r="D226" s="10" t="s">
        <v>1162</v>
      </c>
    </row>
    <row r="227" spans="1:4" x14ac:dyDescent="0.25">
      <c r="A227" s="7" t="s">
        <v>585</v>
      </c>
      <c r="B227" s="7" t="s">
        <v>482</v>
      </c>
      <c r="C227" s="7" t="s">
        <v>924</v>
      </c>
      <c r="D227" s="10" t="s">
        <v>1163</v>
      </c>
    </row>
    <row r="228" spans="1:4" x14ac:dyDescent="0.25">
      <c r="A228" s="7" t="s">
        <v>674</v>
      </c>
      <c r="B228" s="7" t="s">
        <v>925</v>
      </c>
      <c r="C228" s="7" t="s">
        <v>926</v>
      </c>
      <c r="D228" s="7"/>
    </row>
    <row r="229" spans="1:4" x14ac:dyDescent="0.25">
      <c r="A229" s="7" t="s">
        <v>715</v>
      </c>
      <c r="B229" s="7" t="s">
        <v>927</v>
      </c>
      <c r="C229" s="7" t="s">
        <v>928</v>
      </c>
      <c r="D229" s="7"/>
    </row>
    <row r="230" spans="1:4" x14ac:dyDescent="0.25">
      <c r="A230" s="7" t="s">
        <v>929</v>
      </c>
      <c r="B230" s="7" t="s">
        <v>930</v>
      </c>
      <c r="C230" s="7" t="s">
        <v>931</v>
      </c>
      <c r="D230" s="10" t="s">
        <v>1164</v>
      </c>
    </row>
    <row r="231" spans="1:4" x14ac:dyDescent="0.25">
      <c r="A231" s="7" t="s">
        <v>8</v>
      </c>
      <c r="B231" s="7" t="s">
        <v>932</v>
      </c>
      <c r="C231" s="7" t="s">
        <v>933</v>
      </c>
      <c r="D231" s="7"/>
    </row>
    <row r="232" spans="1:4" x14ac:dyDescent="0.25">
      <c r="A232" s="7" t="s">
        <v>934</v>
      </c>
      <c r="B232" s="7" t="s">
        <v>935</v>
      </c>
      <c r="C232" s="7" t="s">
        <v>936</v>
      </c>
      <c r="D232" s="7"/>
    </row>
    <row r="233" spans="1:4" x14ac:dyDescent="0.25">
      <c r="A233" s="7" t="s">
        <v>937</v>
      </c>
      <c r="B233" s="7" t="s">
        <v>938</v>
      </c>
      <c r="C233" s="7" t="s">
        <v>939</v>
      </c>
      <c r="D233" s="7"/>
    </row>
    <row r="234" spans="1:4" x14ac:dyDescent="0.25">
      <c r="A234" s="7" t="s">
        <v>940</v>
      </c>
      <c r="B234" s="7" t="s">
        <v>882</v>
      </c>
      <c r="C234" s="7" t="s">
        <v>941</v>
      </c>
      <c r="D234" s="10" t="s">
        <v>1165</v>
      </c>
    </row>
    <row r="235" spans="1:4" x14ac:dyDescent="0.25">
      <c r="A235" s="7" t="s">
        <v>409</v>
      </c>
      <c r="B235" s="7" t="s">
        <v>942</v>
      </c>
      <c r="C235" s="7" t="s">
        <v>943</v>
      </c>
      <c r="D235" s="7"/>
    </row>
    <row r="236" spans="1:4" x14ac:dyDescent="0.25">
      <c r="A236" s="7" t="s">
        <v>615</v>
      </c>
      <c r="B236" s="7" t="s">
        <v>944</v>
      </c>
      <c r="C236" s="7" t="s">
        <v>945</v>
      </c>
      <c r="D236" s="10" t="s">
        <v>1166</v>
      </c>
    </row>
    <row r="237" spans="1:4" x14ac:dyDescent="0.25">
      <c r="A237" s="7" t="s">
        <v>667</v>
      </c>
      <c r="B237" s="7" t="s">
        <v>946</v>
      </c>
      <c r="C237" s="7" t="s">
        <v>947</v>
      </c>
      <c r="D237" s="7"/>
    </row>
    <row r="238" spans="1:4" x14ac:dyDescent="0.25">
      <c r="A238" s="7" t="s">
        <v>409</v>
      </c>
      <c r="B238" s="7" t="s">
        <v>948</v>
      </c>
      <c r="C238" s="7" t="s">
        <v>949</v>
      </c>
      <c r="D238" s="7"/>
    </row>
    <row r="239" spans="1:4" x14ac:dyDescent="0.25">
      <c r="A239" s="7" t="s">
        <v>804</v>
      </c>
      <c r="B239" s="7" t="s">
        <v>950</v>
      </c>
      <c r="C239" s="7" t="s">
        <v>951</v>
      </c>
      <c r="D239" s="10" t="s">
        <v>1167</v>
      </c>
    </row>
    <row r="240" spans="1:4" x14ac:dyDescent="0.25">
      <c r="A240" s="7" t="s">
        <v>952</v>
      </c>
      <c r="B240" s="7" t="s">
        <v>900</v>
      </c>
      <c r="C240" s="7" t="s">
        <v>953</v>
      </c>
      <c r="D240" s="10" t="s">
        <v>1168</v>
      </c>
    </row>
    <row r="241" spans="1:4" x14ac:dyDescent="0.25">
      <c r="A241" s="7" t="s">
        <v>419</v>
      </c>
      <c r="B241" s="7" t="s">
        <v>954</v>
      </c>
      <c r="C241" s="7" t="s">
        <v>955</v>
      </c>
      <c r="D241" s="7"/>
    </row>
    <row r="242" spans="1:4" x14ac:dyDescent="0.25">
      <c r="A242" s="7" t="s">
        <v>715</v>
      </c>
      <c r="B242" s="7" t="s">
        <v>956</v>
      </c>
      <c r="C242" s="7" t="s">
        <v>957</v>
      </c>
      <c r="D242" s="7"/>
    </row>
    <row r="243" spans="1:4" x14ac:dyDescent="0.25">
      <c r="A243" s="7" t="s">
        <v>715</v>
      </c>
      <c r="B243" s="7" t="s">
        <v>958</v>
      </c>
      <c r="C243" s="7" t="s">
        <v>959</v>
      </c>
      <c r="D243" s="7"/>
    </row>
    <row r="244" spans="1:4" x14ac:dyDescent="0.25">
      <c r="A244" s="7" t="s">
        <v>8</v>
      </c>
      <c r="B244" s="7" t="s">
        <v>960</v>
      </c>
      <c r="C244" s="7" t="s">
        <v>961</v>
      </c>
      <c r="D244" s="7"/>
    </row>
    <row r="245" spans="1:4" x14ac:dyDescent="0.25">
      <c r="A245" s="7" t="s">
        <v>422</v>
      </c>
      <c r="B245" s="7" t="s">
        <v>962</v>
      </c>
      <c r="C245" s="7" t="s">
        <v>963</v>
      </c>
      <c r="D245" s="10" t="s">
        <v>1169</v>
      </c>
    </row>
    <row r="246" spans="1:4" x14ac:dyDescent="0.25">
      <c r="A246" s="7" t="s">
        <v>460</v>
      </c>
      <c r="B246" s="7" t="s">
        <v>964</v>
      </c>
      <c r="C246" s="7" t="s">
        <v>965</v>
      </c>
      <c r="D246" s="10" t="s">
        <v>1170</v>
      </c>
    </row>
    <row r="247" spans="1:4" x14ac:dyDescent="0.25">
      <c r="A247" s="7" t="s">
        <v>966</v>
      </c>
      <c r="B247" s="7" t="s">
        <v>967</v>
      </c>
      <c r="C247" s="7" t="s">
        <v>968</v>
      </c>
      <c r="D247" s="10" t="s">
        <v>1171</v>
      </c>
    </row>
    <row r="248" spans="1:4" x14ac:dyDescent="0.25">
      <c r="A248" s="7" t="s">
        <v>969</v>
      </c>
      <c r="B248" s="7" t="s">
        <v>970</v>
      </c>
      <c r="C248" s="7" t="s">
        <v>971</v>
      </c>
      <c r="D248" s="7"/>
    </row>
    <row r="249" spans="1:4" x14ac:dyDescent="0.25">
      <c r="A249" s="7" t="s">
        <v>585</v>
      </c>
      <c r="B249" s="7" t="s">
        <v>972</v>
      </c>
      <c r="C249" s="7" t="s">
        <v>973</v>
      </c>
      <c r="D249" s="7"/>
    </row>
    <row r="250" spans="1:4" x14ac:dyDescent="0.25">
      <c r="A250" s="7" t="s">
        <v>585</v>
      </c>
      <c r="B250" s="7" t="s">
        <v>974</v>
      </c>
      <c r="C250" s="7" t="s">
        <v>975</v>
      </c>
      <c r="D250" s="7"/>
    </row>
    <row r="251" spans="1:4" x14ac:dyDescent="0.25">
      <c r="A251" s="7" t="s">
        <v>952</v>
      </c>
      <c r="B251" s="7" t="s">
        <v>976</v>
      </c>
      <c r="C251" s="7" t="s">
        <v>977</v>
      </c>
      <c r="D251" s="7"/>
    </row>
    <row r="252" spans="1:4" x14ac:dyDescent="0.25">
      <c r="A252" s="7" t="s">
        <v>472</v>
      </c>
      <c r="B252" s="7" t="s">
        <v>978</v>
      </c>
      <c r="C252" s="7" t="s">
        <v>979</v>
      </c>
      <c r="D252" s="10" t="s">
        <v>1172</v>
      </c>
    </row>
    <row r="253" spans="1:4" x14ac:dyDescent="0.25">
      <c r="A253" s="7" t="s">
        <v>422</v>
      </c>
      <c r="B253" s="7" t="s">
        <v>980</v>
      </c>
      <c r="C253" s="7" t="s">
        <v>981</v>
      </c>
      <c r="D253" s="10" t="s">
        <v>1173</v>
      </c>
    </row>
    <row r="254" spans="1:4" x14ac:dyDescent="0.25">
      <c r="A254" s="7" t="s">
        <v>448</v>
      </c>
      <c r="B254" s="7" t="s">
        <v>982</v>
      </c>
      <c r="C254" s="7" t="s">
        <v>983</v>
      </c>
      <c r="D254" s="7"/>
    </row>
    <row r="255" spans="1:4" x14ac:dyDescent="0.25">
      <c r="A255" s="7" t="s">
        <v>984</v>
      </c>
      <c r="B255" s="7" t="s">
        <v>499</v>
      </c>
      <c r="C255" s="7" t="s">
        <v>985</v>
      </c>
      <c r="D255" s="10" t="s">
        <v>1174</v>
      </c>
    </row>
    <row r="256" spans="1:4" x14ac:dyDescent="0.25">
      <c r="A256" s="7" t="s">
        <v>503</v>
      </c>
      <c r="B256" s="7" t="s">
        <v>986</v>
      </c>
      <c r="C256" s="7" t="s">
        <v>987</v>
      </c>
      <c r="D256" s="10" t="s">
        <v>1175</v>
      </c>
    </row>
    <row r="257" spans="1:4" x14ac:dyDescent="0.25">
      <c r="A257" s="7" t="s">
        <v>403</v>
      </c>
      <c r="B257" s="7" t="s">
        <v>988</v>
      </c>
      <c r="C257" s="7" t="s">
        <v>989</v>
      </c>
      <c r="D257" s="10" t="s">
        <v>1176</v>
      </c>
    </row>
    <row r="258" spans="1:4" x14ac:dyDescent="0.25">
      <c r="A258" s="7" t="s">
        <v>448</v>
      </c>
      <c r="B258" s="7" t="s">
        <v>990</v>
      </c>
      <c r="C258" s="7" t="s">
        <v>991</v>
      </c>
      <c r="D258" s="10" t="s">
        <v>1177</v>
      </c>
    </row>
    <row r="259" spans="1:4" x14ac:dyDescent="0.25">
      <c r="A259" s="7" t="s">
        <v>428</v>
      </c>
      <c r="B259" s="7" t="s">
        <v>482</v>
      </c>
      <c r="C259" s="7" t="s">
        <v>992</v>
      </c>
      <c r="D259" s="10" t="s">
        <v>1178</v>
      </c>
    </row>
    <row r="260" spans="1:4" x14ac:dyDescent="0.25">
      <c r="A260" s="7" t="s">
        <v>8</v>
      </c>
      <c r="B260" s="7" t="s">
        <v>993</v>
      </c>
      <c r="C260" s="7" t="s">
        <v>994</v>
      </c>
      <c r="D260" s="7"/>
    </row>
    <row r="261" spans="1:4" x14ac:dyDescent="0.25">
      <c r="A261" s="7" t="s">
        <v>615</v>
      </c>
      <c r="B261" s="7" t="s">
        <v>995</v>
      </c>
      <c r="C261" s="7" t="s">
        <v>996</v>
      </c>
      <c r="D261" s="7"/>
    </row>
    <row r="262" spans="1:4" x14ac:dyDescent="0.25">
      <c r="A262" s="7" t="s">
        <v>765</v>
      </c>
      <c r="B262" s="7" t="s">
        <v>997</v>
      </c>
      <c r="C262" s="7" t="s">
        <v>998</v>
      </c>
      <c r="D262" s="10" t="s">
        <v>1179</v>
      </c>
    </row>
    <row r="263" spans="1:4" x14ac:dyDescent="0.25">
      <c r="A263" s="7" t="s">
        <v>806</v>
      </c>
      <c r="B263" s="7" t="s">
        <v>999</v>
      </c>
      <c r="C263" s="7" t="s">
        <v>1000</v>
      </c>
      <c r="D263" s="7"/>
    </row>
    <row r="264" spans="1:4" x14ac:dyDescent="0.25">
      <c r="A264" s="7" t="s">
        <v>934</v>
      </c>
      <c r="B264" s="7" t="s">
        <v>1001</v>
      </c>
      <c r="C264" s="7" t="s">
        <v>1002</v>
      </c>
      <c r="D264" s="7"/>
    </row>
    <row r="265" spans="1:4" x14ac:dyDescent="0.25">
      <c r="A265" s="7" t="s">
        <v>569</v>
      </c>
      <c r="B265" s="7" t="s">
        <v>1003</v>
      </c>
      <c r="C265" s="7" t="s">
        <v>1004</v>
      </c>
      <c r="D265" s="10" t="s">
        <v>1180</v>
      </c>
    </row>
    <row r="266" spans="1:4" x14ac:dyDescent="0.25">
      <c r="A266" s="7" t="s">
        <v>786</v>
      </c>
      <c r="B266" s="7" t="s">
        <v>1005</v>
      </c>
      <c r="C266" s="7" t="s">
        <v>1006</v>
      </c>
      <c r="D266" s="10" t="s">
        <v>1181</v>
      </c>
    </row>
    <row r="267" spans="1:4" x14ac:dyDescent="0.25">
      <c r="A267" s="7" t="s">
        <v>400</v>
      </c>
      <c r="B267" s="7" t="s">
        <v>1007</v>
      </c>
      <c r="C267" s="7" t="s">
        <v>1008</v>
      </c>
      <c r="D267" s="7"/>
    </row>
    <row r="268" spans="1:4" x14ac:dyDescent="0.25">
      <c r="A268" s="7" t="s">
        <v>406</v>
      </c>
      <c r="B268" s="7" t="s">
        <v>1009</v>
      </c>
      <c r="C268" s="7" t="s">
        <v>1010</v>
      </c>
      <c r="D268" s="7"/>
    </row>
    <row r="269" spans="1:4" x14ac:dyDescent="0.25">
      <c r="A269" s="7" t="s">
        <v>529</v>
      </c>
      <c r="B269" s="7" t="s">
        <v>1011</v>
      </c>
      <c r="C269" s="7" t="s">
        <v>1012</v>
      </c>
      <c r="D269" s="10" t="s">
        <v>1182</v>
      </c>
    </row>
    <row r="270" spans="1:4" x14ac:dyDescent="0.25">
      <c r="A270" s="7" t="s">
        <v>786</v>
      </c>
      <c r="B270" s="7" t="s">
        <v>1013</v>
      </c>
      <c r="C270" s="7" t="s">
        <v>1014</v>
      </c>
      <c r="D270" s="10" t="s">
        <v>1183</v>
      </c>
    </row>
    <row r="271" spans="1:4" x14ac:dyDescent="0.25">
      <c r="A271" s="7" t="s">
        <v>508</v>
      </c>
      <c r="B271" s="7" t="s">
        <v>1015</v>
      </c>
      <c r="C271" s="7" t="s">
        <v>1016</v>
      </c>
      <c r="D271" s="10" t="s">
        <v>1084</v>
      </c>
    </row>
    <row r="272" spans="1:4" x14ac:dyDescent="0.25">
      <c r="A272" s="7" t="s">
        <v>448</v>
      </c>
      <c r="B272" s="7" t="s">
        <v>1017</v>
      </c>
      <c r="C272" s="7" t="s">
        <v>1018</v>
      </c>
      <c r="D272" s="7"/>
    </row>
    <row r="273" spans="1:4" x14ac:dyDescent="0.25">
      <c r="A273" s="7" t="s">
        <v>1019</v>
      </c>
      <c r="B273" s="7" t="s">
        <v>1020</v>
      </c>
      <c r="C273" s="7" t="s">
        <v>1021</v>
      </c>
      <c r="D273" s="10" t="s">
        <v>1184</v>
      </c>
    </row>
    <row r="274" spans="1:4" x14ac:dyDescent="0.25">
      <c r="A274" s="7" t="s">
        <v>897</v>
      </c>
      <c r="B274" s="7" t="s">
        <v>1022</v>
      </c>
      <c r="C274" s="7" t="s">
        <v>1023</v>
      </c>
      <c r="D274" s="7"/>
    </row>
    <row r="275" spans="1:4" x14ac:dyDescent="0.25">
      <c r="A275" s="7" t="s">
        <v>580</v>
      </c>
      <c r="B275" s="7" t="s">
        <v>1024</v>
      </c>
      <c r="C275" s="7" t="s">
        <v>1025</v>
      </c>
      <c r="D275" s="7"/>
    </row>
    <row r="276" spans="1:4" x14ac:dyDescent="0.25">
      <c r="A276" s="7" t="s">
        <v>1026</v>
      </c>
      <c r="B276" s="7" t="s">
        <v>1027</v>
      </c>
      <c r="C276" s="7" t="s">
        <v>1028</v>
      </c>
      <c r="D276" s="7"/>
    </row>
    <row r="277" spans="1:4" x14ac:dyDescent="0.25">
      <c r="A277" s="7" t="s">
        <v>804</v>
      </c>
      <c r="B277" s="7" t="s">
        <v>625</v>
      </c>
      <c r="C277" s="7" t="s">
        <v>1029</v>
      </c>
      <c r="D277" s="10" t="s">
        <v>1185</v>
      </c>
    </row>
    <row r="278" spans="1:4" x14ac:dyDescent="0.25">
      <c r="A278" s="7" t="s">
        <v>448</v>
      </c>
      <c r="B278" s="7" t="s">
        <v>1030</v>
      </c>
      <c r="C278" s="7" t="s">
        <v>1031</v>
      </c>
      <c r="D278" s="7"/>
    </row>
    <row r="279" spans="1:4" x14ac:dyDescent="0.25">
      <c r="A279" s="7" t="s">
        <v>585</v>
      </c>
      <c r="B279" s="7" t="s">
        <v>1032</v>
      </c>
      <c r="C279" s="7" t="s">
        <v>1033</v>
      </c>
      <c r="D279" s="10" t="s">
        <v>1186</v>
      </c>
    </row>
    <row r="280" spans="1:4" x14ac:dyDescent="0.25">
      <c r="A280" s="7" t="s">
        <v>465</v>
      </c>
      <c r="B280" s="7" t="s">
        <v>1034</v>
      </c>
      <c r="C280" s="7" t="s">
        <v>1035</v>
      </c>
      <c r="D280" s="10" t="s">
        <v>1187</v>
      </c>
    </row>
    <row r="281" spans="1:4" x14ac:dyDescent="0.25">
      <c r="A281" s="7" t="s">
        <v>487</v>
      </c>
      <c r="B281" s="7" t="s">
        <v>1036</v>
      </c>
      <c r="C281" s="7" t="s">
        <v>1037</v>
      </c>
      <c r="D281" s="7"/>
    </row>
    <row r="282" spans="1:4" x14ac:dyDescent="0.25">
      <c r="A282" s="7" t="s">
        <v>484</v>
      </c>
      <c r="B282" s="7" t="s">
        <v>1038</v>
      </c>
      <c r="C282" s="7" t="s">
        <v>1039</v>
      </c>
      <c r="D282" s="10" t="s">
        <v>1188</v>
      </c>
    </row>
  </sheetData>
  <autoFilter ref="A1:D28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Arkusz2</vt:lpstr>
    </vt:vector>
  </TitlesOfParts>
  <Company>Vis Peritiae Consulting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Rafał Wojtaszek</dc:creator>
  <cp:lastModifiedBy>Kamil Zien</cp:lastModifiedBy>
  <dcterms:created xsi:type="dcterms:W3CDTF">2014-09-21T19:48:33Z</dcterms:created>
  <dcterms:modified xsi:type="dcterms:W3CDTF">2014-09-30T14:57:04Z</dcterms:modified>
</cp:coreProperties>
</file>