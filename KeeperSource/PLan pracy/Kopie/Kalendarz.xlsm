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en_skoroszyt" defaultThemeVersion="124226"/>
  <bookViews>
    <workbookView xWindow="1560" yWindow="1275" windowWidth="20610" windowHeight="9630"/>
  </bookViews>
  <sheets>
    <sheet name="timeline" sheetId="1" r:id="rId1"/>
    <sheet name="activityLog" sheetId="2" r:id="rId2"/>
    <sheet name="helper" sheetId="3" r:id="rId3"/>
    <sheet name="Arkusz1" sheetId="4" r:id="rId4"/>
    <sheet name="b" sheetId="5" r:id="rId5"/>
  </sheets>
  <definedNames>
    <definedName name="Actual">(PeriodInActual*(timeline!$H1&gt;0))*PeriodInPlan</definedName>
    <definedName name="ActualBeyond">PeriodInActual*(timeline!$H1&gt;0)</definedName>
    <definedName name="LinkStr2ActLog">helper!$B$3</definedName>
    <definedName name="PercentComplete">PercentCompleteBeyond*PeriodInPlan</definedName>
    <definedName name="PercentCompleteBeyond">(timeline!A$9=MEDIAN(timeline!A$9,timeline!$H1,timeline!$J1)*(timeline!$H1&gt;0))*((timeline!A$9&lt;=(INT(timeline!$J1*timeline!$K1)))+(timeline!A$9=timeline!$H1))*(timeline!$K1&gt;0)</definedName>
    <definedName name="period_selected">timeline!$P$3</definedName>
    <definedName name="PeriodInActual">timeline!A$9=MEDIAN(timeline!A$9,timeline!$D1,timeline!$D1+timeline!$E1-1)</definedName>
    <definedName name="PeriodInPlan">timeline!A$9=MEDIAN(timeline!A$9,timeline!$D1,timeline!$F1)</definedName>
    <definedName name="Plan">PeriodInPlan*(timeline!$D1&gt;0)</definedName>
    <definedName name="WorkbookName">helper!$B$2</definedName>
  </definedNames>
  <calcPr calcId="144525" calcOnSave="0"/>
</workbook>
</file>

<file path=xl/calcChain.xml><?xml version="1.0" encoding="utf-8"?>
<calcChain xmlns="http://schemas.openxmlformats.org/spreadsheetml/2006/main">
  <c r="I11" i="1" l="1"/>
  <c r="F31" i="1" l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11" i="1"/>
  <c r="F30" i="1"/>
  <c r="C1" i="4"/>
  <c r="A1" i="4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I16" i="3"/>
  <c r="L26" i="3"/>
  <c r="I23" i="3"/>
  <c r="I22" i="3"/>
  <c r="L10" i="3"/>
  <c r="M10" i="3"/>
  <c r="N10" i="3"/>
  <c r="K10" i="3"/>
  <c r="I24" i="3" l="1"/>
  <c r="G38" i="1" l="1"/>
  <c r="G39" i="1"/>
  <c r="J30" i="1"/>
  <c r="G31" i="1"/>
  <c r="G32" i="1"/>
  <c r="G33" i="1"/>
  <c r="G30" i="1"/>
  <c r="G34" i="1"/>
  <c r="G35" i="1"/>
  <c r="G36" i="1"/>
  <c r="G37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11" i="1"/>
  <c r="B2" i="3" l="1"/>
  <c r="B3" i="3" s="1"/>
  <c r="O55" i="1"/>
  <c r="I52" i="1"/>
  <c r="B52" i="1"/>
  <c r="I51" i="1"/>
  <c r="B51" i="1"/>
  <c r="I50" i="1"/>
  <c r="B50" i="1"/>
  <c r="I49" i="1"/>
  <c r="B49" i="1"/>
  <c r="I48" i="1"/>
  <c r="B48" i="1"/>
  <c r="I47" i="1"/>
  <c r="B47" i="1"/>
  <c r="I46" i="1"/>
  <c r="B46" i="1"/>
  <c r="I45" i="1"/>
  <c r="C45" i="1"/>
  <c r="I44" i="1"/>
  <c r="C44" i="1"/>
  <c r="I43" i="1"/>
  <c r="C43" i="1"/>
  <c r="I42" i="1"/>
  <c r="C42" i="1"/>
  <c r="I41" i="1"/>
  <c r="C41" i="1"/>
  <c r="I40" i="1"/>
  <c r="C40" i="1"/>
  <c r="I39" i="1"/>
  <c r="C39" i="1"/>
  <c r="I38" i="1"/>
  <c r="C38" i="1"/>
  <c r="I37" i="1"/>
  <c r="C37" i="1"/>
  <c r="I36" i="1"/>
  <c r="C36" i="1"/>
  <c r="I35" i="1"/>
  <c r="C35" i="1"/>
  <c r="I34" i="1"/>
  <c r="C34" i="1"/>
  <c r="I33" i="1"/>
  <c r="C33" i="1"/>
  <c r="I32" i="1"/>
  <c r="C32" i="1"/>
  <c r="I31" i="1"/>
  <c r="C31" i="1"/>
  <c r="I29" i="1"/>
  <c r="C29" i="1"/>
  <c r="I28" i="1"/>
  <c r="C28" i="1"/>
  <c r="I27" i="1"/>
  <c r="C27" i="1"/>
  <c r="I26" i="1"/>
  <c r="C26" i="1"/>
  <c r="I25" i="1"/>
  <c r="C25" i="1"/>
  <c r="I24" i="1"/>
  <c r="C24" i="1"/>
  <c r="I23" i="1"/>
  <c r="C23" i="1"/>
  <c r="I22" i="1"/>
  <c r="C22" i="1"/>
  <c r="I21" i="1"/>
  <c r="C21" i="1"/>
  <c r="I20" i="1"/>
  <c r="C20" i="1"/>
  <c r="I19" i="1"/>
  <c r="C19" i="1"/>
  <c r="I18" i="1"/>
  <c r="C18" i="1"/>
  <c r="I17" i="1"/>
  <c r="C17" i="1"/>
  <c r="I16" i="1"/>
  <c r="C16" i="1"/>
  <c r="I15" i="1"/>
  <c r="C15" i="1"/>
  <c r="I14" i="1"/>
  <c r="C14" i="1"/>
  <c r="I13" i="1"/>
  <c r="C13" i="1"/>
  <c r="I12" i="1"/>
  <c r="C12" i="1"/>
  <c r="C11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P3" i="1"/>
  <c r="B13" i="1"/>
  <c r="B11" i="1"/>
  <c r="B26" i="1"/>
  <c r="B43" i="1"/>
  <c r="B28" i="1"/>
  <c r="B27" i="1"/>
  <c r="B42" i="1"/>
  <c r="B24" i="1"/>
  <c r="B20" i="1"/>
  <c r="B36" i="1"/>
  <c r="B25" i="1"/>
  <c r="B15" i="1"/>
  <c r="B33" i="1"/>
  <c r="B21" i="1"/>
  <c r="B29" i="1"/>
  <c r="B41" i="1"/>
  <c r="B45" i="1"/>
  <c r="B38" i="1"/>
  <c r="B12" i="1"/>
  <c r="B32" i="1"/>
  <c r="B14" i="1"/>
  <c r="B40" i="1"/>
  <c r="B19" i="1"/>
  <c r="B17" i="1"/>
  <c r="B22" i="1"/>
  <c r="B18" i="1"/>
  <c r="B16" i="1"/>
  <c r="B39" i="1"/>
  <c r="B44" i="1"/>
  <c r="B23" i="1"/>
  <c r="B31" i="1"/>
  <c r="B35" i="1"/>
  <c r="B34" i="1"/>
  <c r="B37" i="1"/>
</calcChain>
</file>

<file path=xl/sharedStrings.xml><?xml version="1.0" encoding="utf-8"?>
<sst xmlns="http://schemas.openxmlformats.org/spreadsheetml/2006/main" count="153" uniqueCount="136">
  <si>
    <t>Project Keeper</t>
  </si>
  <si>
    <t xml:space="preserve"> Period Highlight:</t>
  </si>
  <si>
    <t>Plan</t>
  </si>
  <si>
    <t>Actual</t>
  </si>
  <si>
    <r>
      <rPr>
        <sz val="12"/>
        <color theme="1" tint="0.24994659260841701"/>
        <rFont val="Verdana"/>
        <family val="2"/>
        <charset val="238"/>
      </rPr>
      <t>%</t>
    </r>
    <r>
      <rPr>
        <sz val="11"/>
        <color theme="1" tint="0.24994659260841701"/>
        <rFont val="Verdana"/>
        <family val="2"/>
        <charset val="238"/>
      </rPr>
      <t xml:space="preserve"> </t>
    </r>
    <r>
      <rPr>
        <sz val="12"/>
        <color theme="1" tint="0.24994659260841701"/>
        <rFont val="Verdana"/>
        <family val="2"/>
        <charset val="238"/>
      </rPr>
      <t>Complete</t>
    </r>
  </si>
  <si>
    <r>
      <rPr>
        <sz val="12"/>
        <color theme="1" tint="0.24994659260841701"/>
        <rFont val="Verdana"/>
        <family val="2"/>
        <charset val="238"/>
      </rPr>
      <t>Actual (beyond plan</t>
    </r>
    <r>
      <rPr>
        <sz val="11"/>
        <color theme="1" tint="0.24994659260841701"/>
        <rFont val="Verdana"/>
        <family val="2"/>
        <charset val="238"/>
      </rPr>
      <t>)</t>
    </r>
  </si>
  <si>
    <r>
      <rPr>
        <sz val="12"/>
        <color theme="1" tint="0.24994659260841701"/>
        <rFont val="Verdana"/>
        <family val="2"/>
        <charset val="238"/>
      </rPr>
      <t>%</t>
    </r>
    <r>
      <rPr>
        <sz val="11"/>
        <color theme="1" tint="0.24994659260841701"/>
        <rFont val="Verdana"/>
        <family val="2"/>
        <charset val="238"/>
      </rPr>
      <t xml:space="preserve"> </t>
    </r>
    <r>
      <rPr>
        <sz val="12"/>
        <color theme="1" tint="0.24994659260841701"/>
        <rFont val="Verdana"/>
        <family val="2"/>
        <charset val="238"/>
      </rPr>
      <t>Complete (beyond plan)</t>
    </r>
  </si>
  <si>
    <t>ACTIVITY</t>
  </si>
  <si>
    <t>PLAN</t>
  </si>
  <si>
    <t>ACTUAL</t>
  </si>
  <si>
    <t>PERCENT</t>
  </si>
  <si>
    <t>LINK</t>
  </si>
  <si>
    <t>TAG</t>
  </si>
  <si>
    <t>START</t>
  </si>
  <si>
    <t>DURATION</t>
  </si>
  <si>
    <t>FINISH</t>
  </si>
  <si>
    <t>COMPLETE</t>
  </si>
  <si>
    <t>PERIODS</t>
  </si>
  <si>
    <t>Projekt</t>
  </si>
  <si>
    <t>Plik Źródłowy</t>
  </si>
  <si>
    <t>Znacznik</t>
  </si>
  <si>
    <t>Opis</t>
  </si>
  <si>
    <t>Projekt KeeperRichClient.Appl</t>
  </si>
  <si>
    <t>ShellWindow.xaml</t>
  </si>
  <si>
    <t>Okno ShellWindow</t>
  </si>
  <si>
    <t>BootStrapper.cs</t>
  </si>
  <si>
    <t>#test</t>
  </si>
  <si>
    <t>Klasa BootStrapper</t>
  </si>
  <si>
    <t>Projekt KeeperRichClient.Infrastructure</t>
  </si>
  <si>
    <t>NinjectBootStrapper.cs</t>
  </si>
  <si>
    <t>NinjectServiceLocatorAdapter.cs</t>
  </si>
  <si>
    <t>IView.cs</t>
  </si>
  <si>
    <t>IViewModel.cs</t>
  </si>
  <si>
    <t>Projekt KeeperRichClient.Modules.Benefits</t>
  </si>
  <si>
    <t>HealthcareModule.cs</t>
  </si>
  <si>
    <t>Moduł Healthcare</t>
  </si>
  <si>
    <t>HealthcareView.cs</t>
  </si>
  <si>
    <t>Widok HealthcareView</t>
  </si>
  <si>
    <t>HealthcareViewModel.cs</t>
  </si>
  <si>
    <t>WidokModelu HealthcareViewModel</t>
  </si>
  <si>
    <t>HealthcareDataModel.dbml</t>
  </si>
  <si>
    <t>Model HealthcareDataModel generowany przez L2S</t>
  </si>
  <si>
    <t>EMPLOYEES</t>
  </si>
  <si>
    <t>Projekt KeeperRichClient.Modules.Employees</t>
  </si>
  <si>
    <t>EmployeeDataModel.dbml</t>
  </si>
  <si>
    <t>Model EmployeeDataModel generowany przez L2S</t>
  </si>
  <si>
    <t>EmployeeModule.cs</t>
  </si>
  <si>
    <t>Moduł EmployeeModule</t>
  </si>
  <si>
    <t>EmployeeSelectedEvent.cs</t>
  </si>
  <si>
    <t>Zdarzenie EmployeeSelectedEvent (PubSubEvent)</t>
  </si>
  <si>
    <t>EmployeeView.cs</t>
  </si>
  <si>
    <t>Widok EmployeeView</t>
  </si>
  <si>
    <t>EmployeeViewModule.cs</t>
  </si>
  <si>
    <t>WidokModelu EmployeeViewModelu</t>
  </si>
  <si>
    <t>#ListaPakietówPerPracownik</t>
  </si>
  <si>
    <t>Pobierz listę pakietów medycznych pracownika</t>
  </si>
  <si>
    <t>#ListaBeneficjentówPerPakiet</t>
  </si>
  <si>
    <t>Po wybraniu pakietu pakietu medycznego, rozwiń listę przypisanych beneficjentów</t>
  </si>
  <si>
    <t>#Przyciski+/-Beneficjentów</t>
  </si>
  <si>
    <t>Przyciski + Add New Beneficiary /- Remove Beneficiary dodaję/odejmują do/od aktywnie wybranego pakietu medycznego beneficjentów</t>
  </si>
  <si>
    <t>#Przyciski+/-PakietówMedycznych</t>
  </si>
  <si>
    <t>Przyciski + Add New Medical Packet /- Remove Medical Packet dodaję/odejmują do/od aktywnie wybranego pakietu medycznego beneficjentów</t>
  </si>
  <si>
    <t>MultiSport</t>
  </si>
  <si>
    <t>#GenerowanieMultiSportDataModel</t>
  </si>
  <si>
    <t>Wygenerowanie nowego modelu przez L2S; MultiSportDataModel</t>
  </si>
  <si>
    <t>#ProjektowanieMultiSportView</t>
  </si>
  <si>
    <t>Zaprojektowanie MultiSportView</t>
  </si>
  <si>
    <t>#ProgramowanieMultiSportViewModel</t>
  </si>
  <si>
    <t>Zaprogramowanie widoku modelu dla MultisportViewModel</t>
  </si>
  <si>
    <t>Parking</t>
  </si>
  <si>
    <t>#GenerowanieParkingsDataModel</t>
  </si>
  <si>
    <t>Wygenerowanie nowego modelu danych ParkingsDataModel przez L2S;
Model danych uwzględnia: wszystkle miejsca parkingowe w podziale na poszczególne parkingi</t>
  </si>
  <si>
    <t>#ProjektowanieParkingsView</t>
  </si>
  <si>
    <t>Zaprogramowanie widoku modelu ParkingsViewModel</t>
  </si>
  <si>
    <t>#ProgramowanieParkingsViewModel</t>
  </si>
  <si>
    <t>Zaprojektowanie widoku ParkingsView</t>
  </si>
  <si>
    <t>LanguageCourse</t>
  </si>
  <si>
    <t>#GenerowanieLanguageCourseDataModel</t>
  </si>
  <si>
    <t>#ProjektowanieLanguageCourseView</t>
  </si>
  <si>
    <t>#ProgramowanieLanguageCourseViewModel</t>
  </si>
  <si>
    <t>Projekt KeeperRichClient.Modules.CompanyResources</t>
  </si>
  <si>
    <t>Cars</t>
  </si>
  <si>
    <t>#GenerowanieCarsDataModel</t>
  </si>
  <si>
    <t>Model danych uwzględnia: mandaty, naprawy powypadkowe, serwisy, posiadane samochody, karty paliwowe</t>
  </si>
  <si>
    <t>#ProjektowanieCarsView</t>
  </si>
  <si>
    <t>Stworzenie model danych przez L2S; CompanyCarsDataModel</t>
  </si>
  <si>
    <t>#ProgramowanieCarsViewModel</t>
  </si>
  <si>
    <t>Zaprogramowanie widoku modelu CompanyCarsDataModel</t>
  </si>
  <si>
    <t>Zaprojektowanie widoku CompanyCarsView</t>
  </si>
  <si>
    <t>Mobiles</t>
  </si>
  <si>
    <t>#GenerowanieMobilesDataModel</t>
  </si>
  <si>
    <t>Model danych uwzględnia: karty sim, umowy abonamentowe, telefony, dodatkowy osprzęt</t>
  </si>
  <si>
    <t>#ProjektowanieMobilesView</t>
  </si>
  <si>
    <t>Stworzenie model danych przez L2S; MobilesDataModel</t>
  </si>
  <si>
    <t>#ProgramowanieMobilesViewModel</t>
  </si>
  <si>
    <t>Zaprogramowanie widoku modelu MobilesDataModel</t>
  </si>
  <si>
    <t>Zaprojektowanie widoku MobilesView</t>
  </si>
  <si>
    <t>PABXs</t>
  </si>
  <si>
    <t>#GenerowaniePABXDataModel</t>
  </si>
  <si>
    <t>Model danych uwzględnia: telefony stacjonarne, dodatkowy osprzęt telefoniczny</t>
  </si>
  <si>
    <t>#ProjektowaniePABXView</t>
  </si>
  <si>
    <t>Stworzenie model danych przez L2S; PABXDataModel</t>
  </si>
  <si>
    <t>#ProgramowaniePABXViewModel</t>
  </si>
  <si>
    <t>Zaprogramowanie widoku modelu PABXDataModel</t>
  </si>
  <si>
    <t>Zaprojektowanie widoku PABXView</t>
  </si>
  <si>
    <t>Computers</t>
  </si>
  <si>
    <t>#GenerowanieComputersDataModel</t>
  </si>
  <si>
    <t>Model danych uwzględnia: komputery stacjonarne, laptopy, dodatkowy osprzęt</t>
  </si>
  <si>
    <t>#ProjektowanieComputersView</t>
  </si>
  <si>
    <t>Stworzenie model danych przez L2S; ComputersDataModel</t>
  </si>
  <si>
    <t>#ProgramowanieComputersViewModel</t>
  </si>
  <si>
    <t>Zaprogramowanie widoku modelu ComputersDataModel</t>
  </si>
  <si>
    <t>Zaprojektowanie widoku ComputersView</t>
  </si>
  <si>
    <t>Furniture</t>
  </si>
  <si>
    <t>#GenerowanieFurnitureDataModel</t>
  </si>
  <si>
    <t>#ProjektowanieFurnitureView</t>
  </si>
  <si>
    <t>#ProgramowanieFurnitureViewModel</t>
  </si>
  <si>
    <t>Projekt KeeperRichClient.Modules.Fees</t>
  </si>
  <si>
    <t>CarTickets</t>
  </si>
  <si>
    <t>#GenerowanieCarTicketsDataModel</t>
  </si>
  <si>
    <t>#ProjektowanieCarTicketsView</t>
  </si>
  <si>
    <t>#ProgramowanieCarTicketsViewModel</t>
  </si>
  <si>
    <t>TaxiBills</t>
  </si>
  <si>
    <t>#GenerowanieTaxiBillsDataModel</t>
  </si>
  <si>
    <t>#ProjektowanieTaxiBillsView</t>
  </si>
  <si>
    <t>#ProgramowanieTaxiBillsViewModel</t>
  </si>
  <si>
    <t>name</t>
  </si>
  <si>
    <t>val</t>
  </si>
  <si>
    <t>WorkbookName</t>
  </si>
  <si>
    <t>LinkString</t>
  </si>
  <si>
    <t>U R L O P</t>
  </si>
  <si>
    <t>Ile trwa:</t>
  </si>
  <si>
    <t>Ile dni rob</t>
  </si>
  <si>
    <t>Następny dzień roboczy</t>
  </si>
  <si>
    <t>FINISH indirect</t>
  </si>
  <si>
    <t>FINISH direct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</si>
</sst>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"/>
  </numFmts>
  <fonts count="20" x14ac:knownFonts="1">
    <font>
      <sz val="11"/>
      <color theme="1" tint="0.24994659260841701"/>
      <name val="Cambria"/>
      <family val="2"/>
      <scheme val="major"/>
    </font>
    <font>
      <b/>
      <sz val="42"/>
      <color theme="7"/>
      <name val="Cambria"/>
      <family val="2"/>
      <scheme val="major"/>
    </font>
    <font>
      <b/>
      <sz val="42"/>
      <color theme="7"/>
      <name val="Verdana"/>
      <family val="2"/>
      <charset val="238"/>
    </font>
    <font>
      <sz val="11"/>
      <color theme="1" tint="0.24994659260841701"/>
      <name val="Verdana"/>
      <family val="2"/>
      <charset val="238"/>
    </font>
    <font>
      <b/>
      <sz val="11"/>
      <color theme="1" tint="0.24994659260841701"/>
      <name val="Calibri"/>
      <family val="2"/>
      <scheme val="minor"/>
    </font>
    <font>
      <b/>
      <sz val="11"/>
      <color theme="1" tint="0.24994659260841701"/>
      <name val="Verdana"/>
      <family val="2"/>
      <charset val="238"/>
    </font>
    <font>
      <sz val="14"/>
      <color theme="7"/>
      <name val="Verdana"/>
      <family val="2"/>
      <charset val="238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Verdana"/>
      <family val="2"/>
      <charset val="238"/>
    </font>
    <font>
      <b/>
      <sz val="13"/>
      <color theme="1" tint="0.24994659260841701"/>
      <name val="Cambria"/>
      <family val="2"/>
      <scheme val="major"/>
    </font>
    <font>
      <b/>
      <sz val="13"/>
      <color theme="1" tint="0.24994659260841701"/>
      <name val="Verdana"/>
      <family val="2"/>
      <charset val="238"/>
    </font>
    <font>
      <b/>
      <sz val="13"/>
      <color theme="7"/>
      <name val="Cambria"/>
      <family val="2"/>
      <scheme val="major"/>
    </font>
    <font>
      <b/>
      <sz val="13"/>
      <color theme="7"/>
      <name val="Verdana"/>
      <family val="2"/>
      <charset val="238"/>
    </font>
    <font>
      <b/>
      <sz val="9.5"/>
      <color theme="1" tint="0.499984740745262"/>
      <name val="Calibri"/>
      <family val="2"/>
      <scheme val="minor"/>
    </font>
    <font>
      <b/>
      <sz val="9.5"/>
      <color theme="1" tint="0.499984740745262"/>
      <name val="Verdana"/>
      <family val="2"/>
      <charset val="238"/>
    </font>
    <font>
      <u/>
      <sz val="11"/>
      <color theme="10"/>
      <name val="Cambria"/>
      <family val="2"/>
      <scheme val="major"/>
    </font>
    <font>
      <u/>
      <sz val="12"/>
      <color theme="0" tint="-0.499984740745262"/>
      <name val="Verdana"/>
      <family val="2"/>
      <charset val="238"/>
    </font>
    <font>
      <sz val="12"/>
      <name val="Verdana"/>
      <family val="2"/>
      <charset val="238"/>
    </font>
    <font>
      <b/>
      <sz val="12"/>
      <color theme="7"/>
      <name val="Verdana"/>
      <family val="2"/>
      <charset val="238"/>
    </font>
    <font>
      <sz val="11"/>
      <color theme="1"/>
      <name val="Verdana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 applyNumberFormat="0" applyFill="0" applyBorder="0" applyProtection="0">
      <alignment vertical="center"/>
    </xf>
    <xf numFmtId="0" fontId="1" fillId="0" borderId="0" applyNumberFormat="0" applyFill="0" applyBorder="0" applyAlignment="0" applyProtection="0"/>
    <xf numFmtId="0" fontId="4" fillId="2" borderId="1" applyNumberFormat="0" applyProtection="0">
      <alignment horizontal="left" vertical="center"/>
    </xf>
    <xf numFmtId="0" fontId="7" fillId="0" borderId="0" applyNumberFormat="0" applyFill="0" applyBorder="0" applyProtection="0">
      <alignment horizontal="left" vertical="center"/>
    </xf>
    <xf numFmtId="0" fontId="9" fillId="0" borderId="0" applyFill="0" applyBorder="0" applyProtection="0">
      <alignment horizontal="left"/>
    </xf>
    <xf numFmtId="9" fontId="11" fillId="0" borderId="0" applyFill="0" applyBorder="0" applyProtection="0">
      <alignment horizontal="center" vertical="center"/>
    </xf>
    <xf numFmtId="0" fontId="13" fillId="0" borderId="0" applyFill="0" applyBorder="0" applyProtection="0">
      <alignment horizontal="center"/>
    </xf>
    <xf numFmtId="3" fontId="13" fillId="0" borderId="3" applyFill="0" applyProtection="0">
      <alignment horizontal="center"/>
    </xf>
    <xf numFmtId="0" fontId="15" fillId="0" borderId="0" applyNumberForma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3" fillId="0" borderId="0" xfId="0" applyFont="1">
      <alignment vertical="center"/>
    </xf>
    <xf numFmtId="0" fontId="5" fillId="2" borderId="1" xfId="2" applyFont="1">
      <alignment horizontal="left" vertical="center"/>
    </xf>
    <xf numFmtId="0" fontId="3" fillId="3" borderId="2" xfId="0" applyFont="1" applyFill="1" applyBorder="1" applyAlignment="1">
      <alignment horizontal="center"/>
    </xf>
    <xf numFmtId="0" fontId="8" fillId="0" borderId="0" xfId="3" applyFont="1">
      <alignment horizontal="left" vertical="center"/>
    </xf>
    <xf numFmtId="0" fontId="3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0" borderId="0" xfId="3" applyFont="1">
      <alignment horizontal="left" vertical="center"/>
    </xf>
    <xf numFmtId="0" fontId="3" fillId="6" borderId="2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10" fillId="0" borderId="0" xfId="4" applyFont="1">
      <alignment horizontal="left"/>
    </xf>
    <xf numFmtId="9" fontId="12" fillId="0" borderId="0" xfId="5" applyFont="1">
      <alignment horizontal="center" vertical="center"/>
    </xf>
    <xf numFmtId="0" fontId="14" fillId="0" borderId="0" xfId="6" applyFont="1" applyAlignment="1">
      <alignment horizontal="left"/>
    </xf>
    <xf numFmtId="0" fontId="14" fillId="0" borderId="0" xfId="6" applyFont="1">
      <alignment horizontal="center"/>
    </xf>
    <xf numFmtId="3" fontId="14" fillId="0" borderId="3" xfId="7" applyFont="1">
      <alignment horizontal="center"/>
    </xf>
    <xf numFmtId="16" fontId="14" fillId="0" borderId="3" xfId="7" applyNumberFormat="1" applyFont="1" applyAlignment="1">
      <alignment horizontal="center" wrapText="1"/>
    </xf>
    <xf numFmtId="164" fontId="14" fillId="0" borderId="0" xfId="7" applyNumberFormat="1" applyFont="1" applyBorder="1" applyAlignment="1">
      <alignment horizontal="center" wrapText="1"/>
    </xf>
    <xf numFmtId="0" fontId="16" fillId="0" borderId="0" xfId="8" applyFont="1" applyAlignment="1">
      <alignment horizontal="left" vertical="center"/>
    </xf>
    <xf numFmtId="0" fontId="17" fillId="0" borderId="0" xfId="8" applyFont="1" applyAlignment="1">
      <alignment vertical="center"/>
    </xf>
    <xf numFmtId="1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18" fillId="0" borderId="0" xfId="5" applyFont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3" fillId="0" borderId="4" xfId="0" applyFont="1" applyBorder="1">
      <alignment vertical="center"/>
    </xf>
    <xf numFmtId="0" fontId="16" fillId="0" borderId="0" xfId="8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0" fontId="0" fillId="8" borderId="4" xfId="0" applyFill="1" applyBorder="1">
      <alignment vertical="center"/>
    </xf>
    <xf numFmtId="0" fontId="0" fillId="0" borderId="4" xfId="0" applyBorder="1">
      <alignment vertical="center"/>
    </xf>
    <xf numFmtId="0" fontId="16" fillId="9" borderId="0" xfId="8" applyFont="1" applyFill="1" applyAlignment="1">
      <alignment horizontal="center" vertical="center"/>
    </xf>
    <xf numFmtId="0" fontId="17" fillId="9" borderId="0" xfId="8" applyFont="1" applyFill="1" applyAlignment="1">
      <alignment vertical="center"/>
    </xf>
    <xf numFmtId="14" fontId="8" fillId="9" borderId="0" xfId="0" applyNumberFormat="1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9" fontId="18" fillId="9" borderId="0" xfId="5" applyFont="1" applyFill="1" applyAlignment="1">
      <alignment horizontal="center" vertical="center"/>
    </xf>
    <xf numFmtId="0" fontId="3" fillId="9" borderId="0" xfId="0" applyFont="1" applyFill="1" applyAlignment="1">
      <alignment horizontal="center"/>
    </xf>
    <xf numFmtId="0" fontId="3" fillId="9" borderId="4" xfId="0" applyFont="1" applyFill="1" applyBorder="1" applyAlignment="1">
      <alignment horizontal="center"/>
    </xf>
    <xf numFmtId="0" fontId="3" fillId="9" borderId="4" xfId="0" applyFont="1" applyFill="1" applyBorder="1">
      <alignment vertical="center"/>
    </xf>
    <xf numFmtId="0" fontId="3" fillId="9" borderId="0" xfId="0" applyFont="1" applyFill="1">
      <alignment vertical="center"/>
    </xf>
    <xf numFmtId="0" fontId="8" fillId="0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2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2" fillId="0" borderId="0" xfId="1" applyFont="1" applyAlignment="1">
      <alignment horizontal="left"/>
    </xf>
    <xf numFmtId="14" fontId="6" fillId="2" borderId="1" xfId="2" applyNumberFormat="1" applyFont="1" applyAlignment="1">
      <alignment horizontal="center" vertical="center"/>
    </xf>
  </cellXfs>
  <cellStyles count="9">
    <cellStyle name="Activity" xfId="4"/>
    <cellStyle name="Hiperłącze" xfId="8" builtinId="8"/>
    <cellStyle name="Label" xfId="3"/>
    <cellStyle name="Nagłówek 1" xfId="1" builtinId="16"/>
    <cellStyle name="Normalny" xfId="0" builtinId="0"/>
    <cellStyle name="Percent Complete" xfId="5"/>
    <cellStyle name="Period Headers" xfId="7"/>
    <cellStyle name="Period Highlight Control" xfId="2"/>
    <cellStyle name="Project Headers" xfId="6"/>
  </cellStyles>
  <dxfs count="11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 patternType="lightUp">
          <bgColor rgb="FFCAE8A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period_selected" max="30000" min="1" page="10" val="3000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2</xdr:row>
          <xdr:rowOff>28575</xdr:rowOff>
        </xdr:from>
        <xdr:to>
          <xdr:col>18</xdr:col>
          <xdr:colOff>200025</xdr:colOff>
          <xdr:row>2</xdr:row>
          <xdr:rowOff>257175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>
    <pageSetUpPr fitToPage="1"/>
  </sheetPr>
  <dimension ref="A2:BU56"/>
  <sheetViews>
    <sheetView showGridLines="0" tabSelected="1" zoomScale="70" zoomScaleNormal="70" workbookViewId="0">
      <pane xSplit="12" ySplit="10" topLeftCell="M11" activePane="bottomRight" state="frozen"/>
      <selection activeCell="U13" sqref="U13"/>
      <selection pane="topRight" activeCell="U13" sqref="U13"/>
      <selection pane="bottomLeft" activeCell="U13" sqref="U13"/>
      <selection pane="bottomRight" activeCell="C13" sqref="C13"/>
    </sheetView>
  </sheetViews>
  <sheetFormatPr defaultColWidth="2.75" defaultRowHeight="15.75" outlineLevelCol="1" x14ac:dyDescent="0.2"/>
  <cols>
    <col min="1" max="1" width="2.625" style="2" customWidth="1" outlineLevel="1"/>
    <col min="2" max="2" width="18.125" style="11" customWidth="1" outlineLevel="1"/>
    <col min="3" max="3" width="51.125" style="11" customWidth="1" outlineLevel="1"/>
    <col min="4" max="4" width="17" style="1" customWidth="1" outlineLevel="1"/>
    <col min="5" max="5" width="13" style="1" customWidth="1" outlineLevel="1"/>
    <col min="6" max="6" width="20.125" style="1" customWidth="1" outlineLevel="1"/>
    <col min="7" max="7" width="24.375" style="1" customWidth="1" outlineLevel="1"/>
    <col min="8" max="8" width="17" style="1" customWidth="1" outlineLevel="1"/>
    <col min="9" max="9" width="15.125" style="1" customWidth="1" outlineLevel="1"/>
    <col min="10" max="10" width="17" style="1" customWidth="1" outlineLevel="1"/>
    <col min="11" max="11" width="10.625" style="12" customWidth="1" outlineLevel="1"/>
    <col min="12" max="12" width="4.25" style="1" customWidth="1" outlineLevel="1"/>
    <col min="13" max="13" width="7.75" style="1" customWidth="1"/>
    <col min="14" max="28" width="6.625" style="1" bestFit="1" customWidth="1"/>
    <col min="29" max="29" width="7.625" style="1" customWidth="1"/>
    <col min="30" max="32" width="6.625" style="1" bestFit="1" customWidth="1"/>
    <col min="33" max="33" width="6.625" style="2" bestFit="1" customWidth="1"/>
    <col min="34" max="34" width="5" style="2" customWidth="1"/>
    <col min="35" max="35" width="6.625" style="2" bestFit="1" customWidth="1"/>
    <col min="36" max="41" width="7" style="2" bestFit="1" customWidth="1"/>
    <col min="42" max="42" width="6.125" style="2" customWidth="1"/>
    <col min="43" max="66" width="7" style="2" bestFit="1" customWidth="1"/>
    <col min="67" max="72" width="7.625" style="2" bestFit="1" customWidth="1"/>
    <col min="73" max="16384" width="2.75" style="2"/>
  </cols>
  <sheetData>
    <row r="2" spans="2:73" ht="14.25" x14ac:dyDescent="0.2">
      <c r="B2" s="45" t="s">
        <v>0</v>
      </c>
      <c r="C2" s="45"/>
      <c r="D2" s="45"/>
      <c r="E2" s="45"/>
      <c r="F2" s="45"/>
      <c r="G2" s="45"/>
      <c r="H2" s="45"/>
      <c r="I2" s="45"/>
      <c r="J2" s="45"/>
      <c r="K2" s="45"/>
    </row>
    <row r="3" spans="2:73" ht="21" customHeight="1" x14ac:dyDescent="0.2">
      <c r="B3" s="45"/>
      <c r="C3" s="45"/>
      <c r="D3" s="45"/>
      <c r="E3" s="45"/>
      <c r="F3" s="45"/>
      <c r="G3" s="45"/>
      <c r="H3" s="45"/>
      <c r="I3" s="45"/>
      <c r="J3" s="45"/>
      <c r="K3" s="45"/>
      <c r="M3" s="3" t="s">
        <v>1</v>
      </c>
      <c r="N3" s="3"/>
      <c r="O3" s="3"/>
      <c r="P3" s="46">
        <f ca="1">TODAY()</f>
        <v>41830</v>
      </c>
      <c r="Q3" s="46"/>
      <c r="R3" s="46"/>
      <c r="S3" s="3"/>
      <c r="U3" s="4"/>
      <c r="V3" s="5" t="s">
        <v>2</v>
      </c>
      <c r="X3" s="6"/>
      <c r="Y3" s="5" t="s">
        <v>3</v>
      </c>
      <c r="AB3" s="7"/>
      <c r="AC3" s="8" t="s">
        <v>4</v>
      </c>
      <c r="AG3" s="9"/>
      <c r="AH3" s="8" t="s">
        <v>5</v>
      </c>
      <c r="AK3" s="1"/>
      <c r="AL3" s="1"/>
      <c r="AM3" s="1"/>
      <c r="AN3" s="1"/>
      <c r="AO3" s="10"/>
      <c r="AP3" s="8" t="s">
        <v>6</v>
      </c>
    </row>
    <row r="4" spans="2:73" ht="18.75" customHeight="1" x14ac:dyDescent="0.2">
      <c r="B4" s="45"/>
      <c r="C4" s="45"/>
      <c r="D4" s="45"/>
      <c r="E4" s="45"/>
      <c r="F4" s="45"/>
      <c r="G4" s="45"/>
      <c r="H4" s="45"/>
      <c r="I4" s="45"/>
      <c r="J4" s="45"/>
      <c r="K4" s="45"/>
      <c r="AX4" s="1"/>
      <c r="AY4" s="1"/>
      <c r="AZ4" s="1"/>
      <c r="BA4" s="1"/>
      <c r="BB4" s="1"/>
    </row>
    <row r="5" spans="2:73" x14ac:dyDescent="0.2">
      <c r="AX5" s="1"/>
      <c r="AY5" s="1"/>
      <c r="AZ5" s="1"/>
    </row>
    <row r="6" spans="2:73" ht="14.25" x14ac:dyDescent="0.2">
      <c r="B6" s="13" t="s">
        <v>7</v>
      </c>
      <c r="C6" s="13" t="s">
        <v>7</v>
      </c>
      <c r="D6" s="14" t="s">
        <v>8</v>
      </c>
      <c r="E6" s="14" t="s">
        <v>8</v>
      </c>
      <c r="F6" s="14" t="s">
        <v>8</v>
      </c>
      <c r="G6" s="14" t="s">
        <v>8</v>
      </c>
      <c r="H6" s="14" t="s">
        <v>9</v>
      </c>
      <c r="I6" s="14" t="s">
        <v>9</v>
      </c>
      <c r="J6" s="14" t="s">
        <v>9</v>
      </c>
      <c r="K6" s="14" t="s">
        <v>10</v>
      </c>
      <c r="L6" s="14"/>
      <c r="M6" s="14"/>
      <c r="N6" s="14"/>
      <c r="AX6" s="1"/>
      <c r="AY6" s="1"/>
      <c r="AZ6" s="1"/>
    </row>
    <row r="7" spans="2:73" ht="14.25" x14ac:dyDescent="0.2">
      <c r="B7" s="13" t="s">
        <v>11</v>
      </c>
      <c r="C7" s="13" t="s">
        <v>12</v>
      </c>
      <c r="D7" s="14" t="s">
        <v>13</v>
      </c>
      <c r="E7" s="14" t="s">
        <v>14</v>
      </c>
      <c r="F7" s="14" t="s">
        <v>134</v>
      </c>
      <c r="G7" s="14" t="s">
        <v>135</v>
      </c>
      <c r="H7" s="14" t="s">
        <v>13</v>
      </c>
      <c r="I7" s="14" t="s">
        <v>14</v>
      </c>
      <c r="J7" s="14" t="s">
        <v>15</v>
      </c>
      <c r="K7" s="14" t="s">
        <v>16</v>
      </c>
      <c r="L7" s="14"/>
      <c r="M7" s="14" t="s">
        <v>17</v>
      </c>
      <c r="N7" s="14"/>
    </row>
    <row r="8" spans="2:73" ht="13.5" customHeight="1" x14ac:dyDescent="0.2">
      <c r="B8" s="13"/>
      <c r="C8" s="13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</row>
    <row r="9" spans="2:73" ht="15.75" customHeight="1" x14ac:dyDescent="0.2"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6">
        <v>41829</v>
      </c>
      <c r="N9" s="16">
        <v>41830</v>
      </c>
      <c r="O9" s="16">
        <v>41831</v>
      </c>
      <c r="P9" s="16">
        <v>41832</v>
      </c>
      <c r="Q9" s="16">
        <v>41833</v>
      </c>
      <c r="R9" s="16">
        <v>41834</v>
      </c>
      <c r="S9" s="16">
        <v>41835</v>
      </c>
      <c r="T9" s="16">
        <v>41836</v>
      </c>
      <c r="U9" s="16">
        <v>41837</v>
      </c>
      <c r="V9" s="16">
        <v>41838</v>
      </c>
      <c r="W9" s="16">
        <v>41839</v>
      </c>
      <c r="X9" s="16">
        <v>41840</v>
      </c>
      <c r="Y9" s="16">
        <v>41841</v>
      </c>
      <c r="Z9" s="16">
        <v>41842</v>
      </c>
      <c r="AA9" s="16">
        <v>41843</v>
      </c>
      <c r="AB9" s="16">
        <v>41844</v>
      </c>
      <c r="AC9" s="16">
        <v>41845</v>
      </c>
      <c r="AD9" s="16">
        <v>41846</v>
      </c>
      <c r="AE9" s="16">
        <v>41847</v>
      </c>
      <c r="AF9" s="16">
        <v>41848</v>
      </c>
      <c r="AG9" s="16">
        <v>41849</v>
      </c>
      <c r="AH9" s="16">
        <v>41850</v>
      </c>
      <c r="AI9" s="16">
        <v>41851</v>
      </c>
      <c r="AJ9" s="16">
        <v>41852</v>
      </c>
      <c r="AK9" s="16">
        <v>41853</v>
      </c>
      <c r="AL9" s="16">
        <v>41854</v>
      </c>
      <c r="AM9" s="16">
        <v>41855</v>
      </c>
      <c r="AN9" s="16">
        <v>41856</v>
      </c>
      <c r="AO9" s="16">
        <v>41857</v>
      </c>
      <c r="AP9" s="16">
        <v>41858</v>
      </c>
      <c r="AQ9" s="16">
        <v>41859</v>
      </c>
      <c r="AR9" s="16">
        <v>41860</v>
      </c>
      <c r="AS9" s="16">
        <v>41861</v>
      </c>
      <c r="AT9" s="16">
        <v>41862</v>
      </c>
      <c r="AU9" s="16">
        <v>41863</v>
      </c>
      <c r="AV9" s="16">
        <v>41864</v>
      </c>
      <c r="AW9" s="16">
        <v>41865</v>
      </c>
      <c r="AX9" s="16">
        <v>41866</v>
      </c>
      <c r="AY9" s="16">
        <v>41867</v>
      </c>
      <c r="AZ9" s="16">
        <v>41868</v>
      </c>
      <c r="BA9" s="16">
        <v>41869</v>
      </c>
      <c r="BB9" s="16">
        <v>41870</v>
      </c>
      <c r="BC9" s="16">
        <v>41871</v>
      </c>
      <c r="BD9" s="16">
        <v>41872</v>
      </c>
      <c r="BE9" s="16">
        <v>41873</v>
      </c>
      <c r="BF9" s="16">
        <v>41874</v>
      </c>
      <c r="BG9" s="16">
        <v>41875</v>
      </c>
      <c r="BH9" s="16">
        <v>41876</v>
      </c>
      <c r="BI9" s="16">
        <v>41877</v>
      </c>
      <c r="BJ9" s="16">
        <v>41878</v>
      </c>
      <c r="BK9" s="16">
        <v>41879</v>
      </c>
      <c r="BL9" s="16">
        <v>41880</v>
      </c>
      <c r="BM9" s="16">
        <v>41881</v>
      </c>
      <c r="BN9" s="16">
        <v>41882</v>
      </c>
      <c r="BO9" s="16">
        <v>41883</v>
      </c>
      <c r="BP9" s="16">
        <v>41884</v>
      </c>
      <c r="BQ9" s="16">
        <v>41885</v>
      </c>
      <c r="BR9" s="16">
        <v>41886</v>
      </c>
      <c r="BS9" s="16">
        <v>41887</v>
      </c>
      <c r="BT9" s="16">
        <v>41888</v>
      </c>
      <c r="BU9" s="1"/>
    </row>
    <row r="10" spans="2:73" ht="15.75" customHeight="1" x14ac:dyDescent="0.2"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7" t="str">
        <f>TEXT(M9,"ddd")</f>
        <v>Śr</v>
      </c>
      <c r="N10" s="17" t="str">
        <f t="shared" ref="N10:BT10" si="0">TEXT(N9,"ddd")</f>
        <v>Cz</v>
      </c>
      <c r="O10" s="17" t="str">
        <f t="shared" si="0"/>
        <v>Pt</v>
      </c>
      <c r="P10" s="17" t="str">
        <f t="shared" si="0"/>
        <v>So</v>
      </c>
      <c r="Q10" s="17" t="str">
        <f t="shared" si="0"/>
        <v>N</v>
      </c>
      <c r="R10" s="17" t="str">
        <f t="shared" si="0"/>
        <v>Pn</v>
      </c>
      <c r="S10" s="17" t="str">
        <f t="shared" si="0"/>
        <v>Wt</v>
      </c>
      <c r="T10" s="17" t="str">
        <f t="shared" si="0"/>
        <v>Śr</v>
      </c>
      <c r="U10" s="17" t="str">
        <f t="shared" si="0"/>
        <v>Cz</v>
      </c>
      <c r="V10" s="17" t="str">
        <f t="shared" si="0"/>
        <v>Pt</v>
      </c>
      <c r="W10" s="17" t="str">
        <f t="shared" si="0"/>
        <v>So</v>
      </c>
      <c r="X10" s="17" t="str">
        <f t="shared" si="0"/>
        <v>N</v>
      </c>
      <c r="Y10" s="17" t="str">
        <f t="shared" si="0"/>
        <v>Pn</v>
      </c>
      <c r="Z10" s="17" t="str">
        <f t="shared" si="0"/>
        <v>Wt</v>
      </c>
      <c r="AA10" s="17" t="str">
        <f t="shared" si="0"/>
        <v>Śr</v>
      </c>
      <c r="AB10" s="17" t="str">
        <f t="shared" si="0"/>
        <v>Cz</v>
      </c>
      <c r="AC10" s="17" t="str">
        <f t="shared" si="0"/>
        <v>Pt</v>
      </c>
      <c r="AD10" s="17" t="str">
        <f t="shared" si="0"/>
        <v>So</v>
      </c>
      <c r="AE10" s="17" t="str">
        <f t="shared" si="0"/>
        <v>N</v>
      </c>
      <c r="AF10" s="17" t="str">
        <f t="shared" si="0"/>
        <v>Pn</v>
      </c>
      <c r="AG10" s="17" t="str">
        <f t="shared" si="0"/>
        <v>Wt</v>
      </c>
      <c r="AH10" s="17" t="str">
        <f t="shared" si="0"/>
        <v>Śr</v>
      </c>
      <c r="AI10" s="17" t="str">
        <f t="shared" si="0"/>
        <v>Cz</v>
      </c>
      <c r="AJ10" s="17" t="str">
        <f t="shared" si="0"/>
        <v>Pt</v>
      </c>
      <c r="AK10" s="17" t="str">
        <f t="shared" si="0"/>
        <v>So</v>
      </c>
      <c r="AL10" s="17" t="str">
        <f t="shared" si="0"/>
        <v>N</v>
      </c>
      <c r="AM10" s="17" t="str">
        <f t="shared" si="0"/>
        <v>Pn</v>
      </c>
      <c r="AN10" s="17" t="str">
        <f t="shared" si="0"/>
        <v>Wt</v>
      </c>
      <c r="AO10" s="17" t="str">
        <f t="shared" si="0"/>
        <v>Śr</v>
      </c>
      <c r="AP10" s="17" t="str">
        <f t="shared" si="0"/>
        <v>Cz</v>
      </c>
      <c r="AQ10" s="17" t="str">
        <f t="shared" si="0"/>
        <v>Pt</v>
      </c>
      <c r="AR10" s="17" t="str">
        <f t="shared" si="0"/>
        <v>So</v>
      </c>
      <c r="AS10" s="17" t="str">
        <f t="shared" si="0"/>
        <v>N</v>
      </c>
      <c r="AT10" s="17" t="str">
        <f t="shared" si="0"/>
        <v>Pn</v>
      </c>
      <c r="AU10" s="17" t="str">
        <f t="shared" si="0"/>
        <v>Wt</v>
      </c>
      <c r="AV10" s="17" t="str">
        <f t="shared" si="0"/>
        <v>Śr</v>
      </c>
      <c r="AW10" s="17" t="str">
        <f t="shared" si="0"/>
        <v>Cz</v>
      </c>
      <c r="AX10" s="17" t="str">
        <f t="shared" si="0"/>
        <v>Pt</v>
      </c>
      <c r="AY10" s="17" t="str">
        <f t="shared" si="0"/>
        <v>So</v>
      </c>
      <c r="AZ10" s="17" t="str">
        <f t="shared" si="0"/>
        <v>N</v>
      </c>
      <c r="BA10" s="17" t="str">
        <f t="shared" si="0"/>
        <v>Pn</v>
      </c>
      <c r="BB10" s="17" t="str">
        <f t="shared" si="0"/>
        <v>Wt</v>
      </c>
      <c r="BC10" s="17" t="str">
        <f t="shared" si="0"/>
        <v>Śr</v>
      </c>
      <c r="BD10" s="17" t="str">
        <f t="shared" si="0"/>
        <v>Cz</v>
      </c>
      <c r="BE10" s="17" t="str">
        <f t="shared" si="0"/>
        <v>Pt</v>
      </c>
      <c r="BF10" s="17" t="str">
        <f t="shared" si="0"/>
        <v>So</v>
      </c>
      <c r="BG10" s="17" t="str">
        <f t="shared" si="0"/>
        <v>N</v>
      </c>
      <c r="BH10" s="17" t="str">
        <f t="shared" si="0"/>
        <v>Pn</v>
      </c>
      <c r="BI10" s="17" t="str">
        <f t="shared" si="0"/>
        <v>Wt</v>
      </c>
      <c r="BJ10" s="17" t="str">
        <f t="shared" si="0"/>
        <v>Śr</v>
      </c>
      <c r="BK10" s="17" t="str">
        <f t="shared" si="0"/>
        <v>Cz</v>
      </c>
      <c r="BL10" s="17" t="str">
        <f t="shared" si="0"/>
        <v>Pt</v>
      </c>
      <c r="BM10" s="17" t="str">
        <f t="shared" si="0"/>
        <v>So</v>
      </c>
      <c r="BN10" s="17" t="str">
        <f t="shared" si="0"/>
        <v>N</v>
      </c>
      <c r="BO10" s="17" t="str">
        <f t="shared" si="0"/>
        <v>Pn</v>
      </c>
      <c r="BP10" s="17" t="str">
        <f t="shared" si="0"/>
        <v>Wt</v>
      </c>
      <c r="BQ10" s="17" t="str">
        <f t="shared" si="0"/>
        <v>Śr</v>
      </c>
      <c r="BR10" s="17" t="str">
        <f t="shared" si="0"/>
        <v>Cz</v>
      </c>
      <c r="BS10" s="17" t="str">
        <f t="shared" si="0"/>
        <v>Pt</v>
      </c>
      <c r="BT10" s="17" t="str">
        <f t="shared" si="0"/>
        <v>So</v>
      </c>
      <c r="BU10" s="1"/>
    </row>
    <row r="11" spans="2:73" ht="23.25" customHeight="1" x14ac:dyDescent="0.2">
      <c r="B11" s="18" t="str">
        <f ca="1">HYPERLINK(CELL("adres",INDIRECT(ADDRESS(MATCH(C11,activityLog!C:C,0),COLUMN(activityLog!C22),,1,"activityLog"),TRUE)),"Click for details.")</f>
        <v>Click for details.</v>
      </c>
      <c r="C11" s="19" t="str">
        <f>activityLog!C22</f>
        <v>#ListaPakietówPerPracownik</v>
      </c>
      <c r="D11" s="20">
        <v>41830</v>
      </c>
      <c r="E11" s="21">
        <v>1</v>
      </c>
      <c r="F11" s="20">
        <f>WORKDAY(D11,E11-1)</f>
        <v>41830</v>
      </c>
      <c r="G11" s="20">
        <f>IF(
ISBLANK(D11),
"",
D11+E11-1
)</f>
        <v>41830</v>
      </c>
      <c r="H11" s="20">
        <v>41830</v>
      </c>
      <c r="I11" s="21">
        <f ca="1">IF(
ISBLANK($H11),
"",
IF(
ISBLANK($J11),
NETWORKDAYS($H11,TODAY()),
NETWORKDAYS($H11,$J11)
))</f>
        <v>1</v>
      </c>
      <c r="J11" s="20">
        <v>41830</v>
      </c>
      <c r="K11" s="22">
        <v>1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</row>
    <row r="12" spans="2:73" ht="18.75" customHeight="1" x14ac:dyDescent="0.2">
      <c r="B12" s="25" t="str">
        <f ca="1">IF(
ISBLANK(C12),
"",
HYPERLINK(
CELL("adres",INDIRECT(ADDRESS(MATCH(C12,activityLog!C:C,0),COLUMN(activityLog!C23),,1,"activityLog"),TRUE)),
"Click for details."))</f>
        <v>Click for details.</v>
      </c>
      <c r="C12" s="19" t="str">
        <f>activityLog!C23</f>
        <v>#ListaBeneficjentówPerPakiet</v>
      </c>
      <c r="D12" s="20">
        <v>41830</v>
      </c>
      <c r="E12" s="21">
        <v>1</v>
      </c>
      <c r="F12" s="20">
        <f t="shared" ref="F12:F45" si="1">WORKDAY(D12,E12-1)</f>
        <v>41830</v>
      </c>
      <c r="G12" s="20">
        <f t="shared" ref="G12:G52" si="2">IF(
ISBLANK(D12),
"",
D12+E12-1
)</f>
        <v>41830</v>
      </c>
      <c r="H12" s="20">
        <v>41830</v>
      </c>
      <c r="I12" s="21">
        <f t="shared" ref="I12:I52" ca="1" si="3">IF(
ISBLANK($H12),
"",
IF(
ISBLANK($J12),
NETWORKDAYS($H12,TODAY()),
NETWORKDAYS($H12,$J12)
))</f>
        <v>1</v>
      </c>
      <c r="J12" s="20"/>
      <c r="K12" s="22">
        <v>0</v>
      </c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</row>
    <row r="13" spans="2:73" ht="18.95" customHeight="1" x14ac:dyDescent="0.2">
      <c r="B13" s="25" t="str">
        <f ca="1">IF(
ISBLANK(C13),
"",
HYPERLINK(
CELL("adres",INDIRECT(ADDRESS(MATCH(C13,activityLog!C:C,0),COLUMN(activityLog!C24),,1,"activityLog"),TRUE)),
"Click for details."))</f>
        <v>Click for details.</v>
      </c>
      <c r="C13" s="19" t="str">
        <f>activityLog!C24</f>
        <v>#Przyciski+/-Beneficjentów</v>
      </c>
      <c r="D13" s="20">
        <v>41831</v>
      </c>
      <c r="E13" s="21">
        <v>1</v>
      </c>
      <c r="F13" s="20">
        <f t="shared" si="1"/>
        <v>41831</v>
      </c>
      <c r="G13" s="20">
        <f t="shared" si="2"/>
        <v>41831</v>
      </c>
      <c r="H13" s="20"/>
      <c r="I13" s="21" t="str">
        <f t="shared" ca="1" si="3"/>
        <v/>
      </c>
      <c r="J13" s="20"/>
      <c r="K13" s="22">
        <v>0</v>
      </c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</row>
    <row r="14" spans="2:73" ht="18.95" customHeight="1" x14ac:dyDescent="0.2">
      <c r="B14" s="25" t="str">
        <f ca="1">IF(
ISBLANK(C14),
"",
HYPERLINK(
CELL("adres",INDIRECT(ADDRESS(MATCH(C14,activityLog!C:C,0),COLUMN(activityLog!C25),,1,"activityLog"),TRUE)),
"Click for details."))</f>
        <v>Click for details.</v>
      </c>
      <c r="C14" s="19" t="str">
        <f>activityLog!C25</f>
        <v>#Przyciski+/-PakietówMedycznych</v>
      </c>
      <c r="D14" s="20">
        <v>41831</v>
      </c>
      <c r="E14" s="21">
        <v>1</v>
      </c>
      <c r="F14" s="20">
        <f t="shared" si="1"/>
        <v>41831</v>
      </c>
      <c r="G14" s="20">
        <f t="shared" si="2"/>
        <v>41831</v>
      </c>
      <c r="H14" s="20"/>
      <c r="I14" s="21" t="str">
        <f t="shared" ca="1" si="3"/>
        <v/>
      </c>
      <c r="J14" s="20"/>
      <c r="K14" s="22">
        <v>0</v>
      </c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</row>
    <row r="15" spans="2:73" ht="18.95" customHeight="1" x14ac:dyDescent="0.2">
      <c r="B15" s="25" t="str">
        <f ca="1">IF(
ISBLANK(C15),
"",
HYPERLINK(
CELL("adres",INDIRECT(ADDRESS(MATCH(C15,activityLog!C:C,0),COLUMN(activityLog!C26),,1,"activityLog"),TRUE)),
"Click for details."))</f>
        <v>Click for details.</v>
      </c>
      <c r="C15" s="19" t="str">
        <f>activityLog!C27</f>
        <v>#GenerowanieMultiSportDataModel</v>
      </c>
      <c r="D15" s="20">
        <v>41834</v>
      </c>
      <c r="E15" s="21">
        <v>1</v>
      </c>
      <c r="F15" s="20">
        <f t="shared" si="1"/>
        <v>41834</v>
      </c>
      <c r="G15" s="20">
        <f t="shared" si="2"/>
        <v>41834</v>
      </c>
      <c r="H15" s="20"/>
      <c r="I15" s="21" t="str">
        <f t="shared" ca="1" si="3"/>
        <v/>
      </c>
      <c r="J15" s="20"/>
      <c r="K15" s="22">
        <v>0</v>
      </c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</row>
    <row r="16" spans="2:73" ht="18.95" customHeight="1" x14ac:dyDescent="0.2">
      <c r="B16" s="25" t="str">
        <f ca="1">IF(
ISBLANK(C16),
"",
HYPERLINK(
CELL("adres",INDIRECT(ADDRESS(MATCH(C16,activityLog!C:C,0),COLUMN(activityLog!C28),,1,"activityLog"),TRUE)),
"Click for details."))</f>
        <v>Click for details.</v>
      </c>
      <c r="C16" s="19" t="str">
        <f>activityLog!C28</f>
        <v>#ProjektowanieMultiSportView</v>
      </c>
      <c r="D16" s="20">
        <v>41834</v>
      </c>
      <c r="E16" s="21">
        <v>2</v>
      </c>
      <c r="F16" s="20">
        <f t="shared" si="1"/>
        <v>41835</v>
      </c>
      <c r="G16" s="20">
        <f t="shared" si="2"/>
        <v>41835</v>
      </c>
      <c r="H16" s="20"/>
      <c r="I16" s="21" t="str">
        <f t="shared" ca="1" si="3"/>
        <v/>
      </c>
      <c r="J16" s="20"/>
      <c r="K16" s="22">
        <v>0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</row>
    <row r="17" spans="1:72" ht="18.95" customHeight="1" x14ac:dyDescent="0.2">
      <c r="B17" s="25" t="str">
        <f ca="1">IF(
ISBLANK(C17),
"",
HYPERLINK(
CELL("adres",INDIRECT(ADDRESS(MATCH(C17,activityLog!C:C,0),COLUMN(activityLog!C29),,1,"activityLog"),TRUE)),
"Click for details."))</f>
        <v>Click for details.</v>
      </c>
      <c r="C17" s="19" t="str">
        <f>activityLog!C29</f>
        <v>#ProgramowanieMultiSportViewModel</v>
      </c>
      <c r="D17" s="20">
        <v>41836</v>
      </c>
      <c r="E17" s="21">
        <v>1</v>
      </c>
      <c r="F17" s="20">
        <f t="shared" si="1"/>
        <v>41836</v>
      </c>
      <c r="G17" s="20">
        <f t="shared" si="2"/>
        <v>41836</v>
      </c>
      <c r="H17" s="20"/>
      <c r="I17" s="21" t="str">
        <f t="shared" ca="1" si="3"/>
        <v/>
      </c>
      <c r="J17" s="20"/>
      <c r="K17" s="22">
        <v>0</v>
      </c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</row>
    <row r="18" spans="1:72" ht="18.95" customHeight="1" x14ac:dyDescent="0.2">
      <c r="B18" s="25" t="str">
        <f ca="1">IF(
ISBLANK(C18),
"",
HYPERLINK(
CELL("adres",INDIRECT(ADDRESS(MATCH(C18,activityLog!C:C,0),COLUMN(activityLog!C30),,1,"activityLog"),TRUE)),
"Click for details."))</f>
        <v>Click for details.</v>
      </c>
      <c r="C18" s="19" t="str">
        <f>activityLog!C32</f>
        <v>#GenerowanieParkingsDataModel</v>
      </c>
      <c r="D18" s="20">
        <v>41837</v>
      </c>
      <c r="E18" s="21">
        <v>1</v>
      </c>
      <c r="F18" s="20">
        <f t="shared" si="1"/>
        <v>41837</v>
      </c>
      <c r="G18" s="20">
        <f t="shared" si="2"/>
        <v>41837</v>
      </c>
      <c r="H18" s="20"/>
      <c r="I18" s="21" t="str">
        <f t="shared" ca="1" si="3"/>
        <v/>
      </c>
      <c r="J18" s="20"/>
      <c r="K18" s="22">
        <v>0</v>
      </c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</row>
    <row r="19" spans="1:72" ht="18.95" customHeight="1" x14ac:dyDescent="0.2">
      <c r="B19" s="25" t="str">
        <f ca="1">IF(
ISBLANK(C19),
"",
HYPERLINK(
CELL("adres",INDIRECT(ADDRESS(MATCH(C19,activityLog!C:C,0),COLUMN(activityLog!C31),,1,"activityLog"),TRUE)),
"Click for details."))</f>
        <v>Click for details.</v>
      </c>
      <c r="C19" s="19" t="str">
        <f>activityLog!C33</f>
        <v>#ProjektowanieParkingsView</v>
      </c>
      <c r="D19" s="20">
        <v>41837</v>
      </c>
      <c r="E19" s="21">
        <v>2</v>
      </c>
      <c r="F19" s="20">
        <f t="shared" si="1"/>
        <v>41838</v>
      </c>
      <c r="G19" s="20">
        <f t="shared" si="2"/>
        <v>41838</v>
      </c>
      <c r="H19" s="20"/>
      <c r="I19" s="21" t="str">
        <f t="shared" ca="1" si="3"/>
        <v/>
      </c>
      <c r="J19" s="20"/>
      <c r="K19" s="22">
        <v>0</v>
      </c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</row>
    <row r="20" spans="1:72" ht="18.95" customHeight="1" x14ac:dyDescent="0.2">
      <c r="B20" s="25" t="str">
        <f ca="1">IF(
ISBLANK(C20),
"",
HYPERLINK(
CELL("adres",INDIRECT(ADDRESS(MATCH(C20,activityLog!C:C,0),COLUMN(activityLog!C32),,1,"activityLog"),TRUE)),
"Click for details."))</f>
        <v>Click for details.</v>
      </c>
      <c r="C20" s="19" t="str">
        <f>activityLog!C34</f>
        <v>#ProgramowanieParkingsViewModel</v>
      </c>
      <c r="D20" s="20">
        <v>41841</v>
      </c>
      <c r="E20" s="21">
        <v>1</v>
      </c>
      <c r="F20" s="20">
        <f t="shared" si="1"/>
        <v>41841</v>
      </c>
      <c r="G20" s="20">
        <f t="shared" si="2"/>
        <v>41841</v>
      </c>
      <c r="H20" s="20"/>
      <c r="I20" s="21" t="str">
        <f t="shared" ca="1" si="3"/>
        <v/>
      </c>
      <c r="J20" s="20"/>
      <c r="K20" s="22">
        <v>0</v>
      </c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</row>
    <row r="21" spans="1:72" ht="18.95" customHeight="1" x14ac:dyDescent="0.2">
      <c r="B21" s="25" t="str">
        <f ca="1">IF(
ISBLANK(C21),
"",
HYPERLINK(
CELL("adres",INDIRECT(ADDRESS(MATCH(C21,activityLog!C:C,0),COLUMN(activityLog!C33),,1,"activityLog"),TRUE)),
"Click for details."))</f>
        <v>Click for details.</v>
      </c>
      <c r="C21" s="19" t="str">
        <f>activityLog!C38</f>
        <v>#GenerowanieLanguageCourseDataModel</v>
      </c>
      <c r="D21" s="20">
        <v>41842</v>
      </c>
      <c r="E21" s="21">
        <v>1</v>
      </c>
      <c r="F21" s="20">
        <f t="shared" si="1"/>
        <v>41842</v>
      </c>
      <c r="G21" s="20">
        <f t="shared" si="2"/>
        <v>41842</v>
      </c>
      <c r="H21" s="20"/>
      <c r="I21" s="21" t="str">
        <f t="shared" ca="1" si="3"/>
        <v/>
      </c>
      <c r="J21" s="20"/>
      <c r="K21" s="22">
        <v>0</v>
      </c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</row>
    <row r="22" spans="1:72" ht="18.95" customHeight="1" x14ac:dyDescent="0.2">
      <c r="B22" s="25" t="str">
        <f ca="1">IF(
ISBLANK(C22),
"",
HYPERLINK(
CELL("adres",INDIRECT(ADDRESS(MATCH(C22,activityLog!C:C,0),COLUMN(activityLog!C34),,1,"activityLog"),TRUE)),
"Click for details."))</f>
        <v>Click for details.</v>
      </c>
      <c r="C22" s="19" t="str">
        <f>activityLog!C39</f>
        <v>#ProjektowanieLanguageCourseView</v>
      </c>
      <c r="D22" s="20">
        <v>41842</v>
      </c>
      <c r="E22" s="21">
        <v>2</v>
      </c>
      <c r="F22" s="20">
        <f t="shared" si="1"/>
        <v>41843</v>
      </c>
      <c r="G22" s="20">
        <f t="shared" si="2"/>
        <v>41843</v>
      </c>
      <c r="H22" s="20"/>
      <c r="I22" s="21" t="str">
        <f t="shared" ca="1" si="3"/>
        <v/>
      </c>
      <c r="J22" s="20"/>
      <c r="K22" s="22">
        <v>0</v>
      </c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</row>
    <row r="23" spans="1:72" ht="18.95" customHeight="1" x14ac:dyDescent="0.2">
      <c r="B23" s="25" t="str">
        <f ca="1">IF(
ISBLANK(C23),
"",
HYPERLINK(
CELL("adres",INDIRECT(ADDRESS(MATCH(C23,activityLog!C:C,0),COLUMN(activityLog!C35),,1,"activityLog"),TRUE)),
"Click for details."))</f>
        <v>Click for details.</v>
      </c>
      <c r="C23" s="19" t="str">
        <f>activityLog!C40</f>
        <v>#ProgramowanieLanguageCourseViewModel</v>
      </c>
      <c r="D23" s="20">
        <v>41844</v>
      </c>
      <c r="E23" s="21">
        <v>1</v>
      </c>
      <c r="F23" s="20">
        <f t="shared" si="1"/>
        <v>41844</v>
      </c>
      <c r="G23" s="20">
        <f t="shared" si="2"/>
        <v>41844</v>
      </c>
      <c r="H23" s="20"/>
      <c r="I23" s="21" t="str">
        <f t="shared" ca="1" si="3"/>
        <v/>
      </c>
      <c r="J23" s="20"/>
      <c r="K23" s="22">
        <v>0</v>
      </c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</row>
    <row r="24" spans="1:72" ht="18.95" customHeight="1" x14ac:dyDescent="0.2">
      <c r="B24" s="25" t="str">
        <f ca="1">IF(
ISBLANK(C24),
"",
HYPERLINK(
CELL("adres",INDIRECT(ADDRESS(MATCH(C24,activityLog!C:C,0),COLUMN(activityLog!C36),,1,"activityLog"),TRUE)),
"Click for details."))</f>
        <v>Click for details.</v>
      </c>
      <c r="C24" s="19" t="str">
        <f>activityLog!C43</f>
        <v>#GenerowanieCarsDataModel</v>
      </c>
      <c r="D24" s="20">
        <v>41845</v>
      </c>
      <c r="E24" s="21">
        <v>1</v>
      </c>
      <c r="F24" s="20">
        <f t="shared" si="1"/>
        <v>41845</v>
      </c>
      <c r="G24" s="20">
        <f t="shared" si="2"/>
        <v>41845</v>
      </c>
      <c r="H24" s="20"/>
      <c r="I24" s="21" t="str">
        <f t="shared" ca="1" si="3"/>
        <v/>
      </c>
      <c r="J24" s="20"/>
      <c r="K24" s="22">
        <v>0</v>
      </c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</row>
    <row r="25" spans="1:72" ht="18.95" customHeight="1" x14ac:dyDescent="0.2">
      <c r="B25" s="25" t="str">
        <f ca="1">IF(
ISBLANK(C25),
"",
HYPERLINK(
CELL("adres",INDIRECT(ADDRESS(MATCH(C25,activityLog!C:C,0),COLUMN(activityLog!C37),,1,"activityLog"),TRUE)),
"Click for details."))</f>
        <v>Click for details.</v>
      </c>
      <c r="C25" s="19" t="str">
        <f>activityLog!C44</f>
        <v>#ProjektowanieCarsView</v>
      </c>
      <c r="D25" s="20">
        <v>41845</v>
      </c>
      <c r="E25" s="21">
        <v>2</v>
      </c>
      <c r="F25" s="20">
        <f t="shared" si="1"/>
        <v>41848</v>
      </c>
      <c r="G25" s="20">
        <f t="shared" si="2"/>
        <v>41846</v>
      </c>
      <c r="H25" s="20"/>
      <c r="I25" s="21" t="str">
        <f t="shared" ca="1" si="3"/>
        <v/>
      </c>
      <c r="J25" s="20"/>
      <c r="K25" s="22">
        <v>0</v>
      </c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</row>
    <row r="26" spans="1:72" ht="18.95" customHeight="1" x14ac:dyDescent="0.2">
      <c r="B26" s="25" t="str">
        <f ca="1">IF(
ISBLANK(C26),
"",
HYPERLINK(
CELL("adres",INDIRECT(ADDRESS(MATCH(C26,activityLog!C:C,0),COLUMN(activityLog!C38),,1,"activityLog"),TRUE)),
"Click for details."))</f>
        <v>Click for details.</v>
      </c>
      <c r="C26" s="19" t="str">
        <f>activityLog!C45</f>
        <v>#ProgramowanieCarsViewModel</v>
      </c>
      <c r="D26" s="20">
        <v>41849</v>
      </c>
      <c r="E26" s="21">
        <v>1</v>
      </c>
      <c r="F26" s="20">
        <f t="shared" si="1"/>
        <v>41849</v>
      </c>
      <c r="G26" s="20">
        <f t="shared" si="2"/>
        <v>41849</v>
      </c>
      <c r="H26" s="20"/>
      <c r="I26" s="21" t="str">
        <f t="shared" ca="1" si="3"/>
        <v/>
      </c>
      <c r="J26" s="20"/>
      <c r="K26" s="22">
        <v>0</v>
      </c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</row>
    <row r="27" spans="1:72" ht="18.95" customHeight="1" x14ac:dyDescent="0.2">
      <c r="B27" s="25" t="str">
        <f ca="1">IF(
ISBLANK(C27),
"",
HYPERLINK(
CELL("adres",INDIRECT(ADDRESS(MATCH(C27,activityLog!C:C,0),COLUMN(activityLog!C39),,1,"activityLog"),TRUE)),
"Click for details."))</f>
        <v>Click for details.</v>
      </c>
      <c r="C27" s="19" t="str">
        <f>activityLog!C49</f>
        <v>#GenerowanieMobilesDataModel</v>
      </c>
      <c r="D27" s="20">
        <v>41850</v>
      </c>
      <c r="E27" s="21">
        <v>1</v>
      </c>
      <c r="F27" s="20">
        <f t="shared" si="1"/>
        <v>41850</v>
      </c>
      <c r="G27" s="20">
        <f t="shared" si="2"/>
        <v>41850</v>
      </c>
      <c r="H27" s="20"/>
      <c r="I27" s="21" t="str">
        <f t="shared" ca="1" si="3"/>
        <v/>
      </c>
      <c r="J27" s="20"/>
      <c r="K27" s="22">
        <v>0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</row>
    <row r="28" spans="1:72" ht="18.95" customHeight="1" x14ac:dyDescent="0.2">
      <c r="B28" s="25" t="str">
        <f ca="1">IF(
ISBLANK(C28),
"",
HYPERLINK(
CELL("adres",INDIRECT(ADDRESS(MATCH(C28,activityLog!C:C,0),COLUMN(activityLog!C40),,1,"activityLog"),TRUE)),
"Click for details."))</f>
        <v>Click for details.</v>
      </c>
      <c r="C28" s="19" t="str">
        <f>activityLog!C50</f>
        <v>#ProjektowanieMobilesView</v>
      </c>
      <c r="D28" s="20">
        <v>41850</v>
      </c>
      <c r="E28" s="21">
        <v>2</v>
      </c>
      <c r="F28" s="20">
        <f t="shared" si="1"/>
        <v>41851</v>
      </c>
      <c r="G28" s="20">
        <f t="shared" si="2"/>
        <v>41851</v>
      </c>
      <c r="H28" s="20"/>
      <c r="I28" s="21" t="str">
        <f t="shared" ca="1" si="3"/>
        <v/>
      </c>
      <c r="J28" s="20"/>
      <c r="K28" s="22">
        <v>0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</row>
    <row r="29" spans="1:72" ht="18.95" customHeight="1" x14ac:dyDescent="0.2">
      <c r="B29" s="25" t="str">
        <f ca="1">IF(
ISBLANK(C29),
"",
HYPERLINK(
CELL("adres",INDIRECT(ADDRESS(MATCH(C29,activityLog!C:C,0),COLUMN(activityLog!C41),,1,"activityLog"),TRUE)),
"Click for details."))</f>
        <v>Click for details.</v>
      </c>
      <c r="C29" s="19" t="str">
        <f>activityLog!C51</f>
        <v>#ProgramowanieMobilesViewModel</v>
      </c>
      <c r="D29" s="20">
        <v>41852</v>
      </c>
      <c r="E29" s="21">
        <v>1</v>
      </c>
      <c r="F29" s="20">
        <f t="shared" si="1"/>
        <v>41852</v>
      </c>
      <c r="G29" s="20">
        <f t="shared" si="2"/>
        <v>41852</v>
      </c>
      <c r="H29" s="20"/>
      <c r="I29" s="21" t="str">
        <f t="shared" ca="1" si="3"/>
        <v/>
      </c>
      <c r="J29" s="20"/>
      <c r="K29" s="22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</row>
    <row r="30" spans="1:72" ht="18.95" customHeight="1" x14ac:dyDescent="0.2">
      <c r="A30" s="40"/>
      <c r="B30" s="32"/>
      <c r="C30" s="33" t="s">
        <v>130</v>
      </c>
      <c r="D30" s="34">
        <v>41855</v>
      </c>
      <c r="E30" s="35">
        <v>5</v>
      </c>
      <c r="F30" s="34">
        <f t="shared" si="1"/>
        <v>41859</v>
      </c>
      <c r="G30" s="34">
        <f>IF(
ISBLANK(D30),
"",
D30+E30-1
)</f>
        <v>41859</v>
      </c>
      <c r="H30" s="34">
        <v>41855</v>
      </c>
      <c r="I30" s="35">
        <v>5</v>
      </c>
      <c r="J30" s="34">
        <f t="shared" ref="J30" si="4">IF(
ISBLANK(H30),
"",
H30+I30-1
)</f>
        <v>41859</v>
      </c>
      <c r="K30" s="36">
        <v>1</v>
      </c>
      <c r="L30" s="37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</row>
    <row r="31" spans="1:72" ht="18.95" customHeight="1" x14ac:dyDescent="0.2">
      <c r="B31" s="25" t="str">
        <f ca="1">IF(
ISBLANK(C31),
"",
HYPERLINK(
CELL("adres",INDIRECT(ADDRESS(MATCH(C31,activityLog!C:C,0),COLUMN(activityLog!C42),,1,"activityLog"),TRUE)),
"Click for details."))</f>
        <v>Click for details.</v>
      </c>
      <c r="C31" s="19" t="str">
        <f>activityLog!C54</f>
        <v>#GenerowaniePABXDataModel</v>
      </c>
      <c r="D31" s="20">
        <v>41862</v>
      </c>
      <c r="E31" s="21">
        <v>1</v>
      </c>
      <c r="F31" s="20">
        <f t="shared" si="1"/>
        <v>41862</v>
      </c>
      <c r="G31" s="20">
        <f t="shared" si="2"/>
        <v>41862</v>
      </c>
      <c r="H31" s="20"/>
      <c r="I31" s="21" t="str">
        <f t="shared" ca="1" si="3"/>
        <v/>
      </c>
      <c r="J31" s="20"/>
      <c r="K31" s="22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</row>
    <row r="32" spans="1:72" ht="18.95" customHeight="1" x14ac:dyDescent="0.2">
      <c r="B32" s="25" t="str">
        <f ca="1">IF(
ISBLANK(C32),
"",
HYPERLINK(
CELL("adres",INDIRECT(ADDRESS(MATCH(C32,activityLog!C:C,0),COLUMN(activityLog!C43),,1,"activityLog"),TRUE)),
"Click for details."))</f>
        <v>Click for details.</v>
      </c>
      <c r="C32" s="19" t="str">
        <f>activityLog!C55</f>
        <v>#ProjektowaniePABXView</v>
      </c>
      <c r="D32" s="20">
        <v>41862</v>
      </c>
      <c r="E32" s="21">
        <v>2</v>
      </c>
      <c r="F32" s="20">
        <f t="shared" si="1"/>
        <v>41863</v>
      </c>
      <c r="G32" s="20">
        <f t="shared" si="2"/>
        <v>41863</v>
      </c>
      <c r="H32" s="20"/>
      <c r="I32" s="21" t="str">
        <f t="shared" ca="1" si="3"/>
        <v/>
      </c>
      <c r="J32" s="20"/>
      <c r="K32" s="22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</row>
    <row r="33" spans="1:72" s="40" customFormat="1" ht="18.95" customHeight="1" x14ac:dyDescent="0.2">
      <c r="A33" s="2"/>
      <c r="B33" s="25" t="str">
        <f ca="1">IF(
ISBLANK(C33),
"",
HYPERLINK(
CELL("adres",INDIRECT(ADDRESS(MATCH(C33,activityLog!C:C,0),COLUMN(activityLog!C44),,1,"activityLog"),TRUE)),
"Click for details."))</f>
        <v>Click for details.</v>
      </c>
      <c r="C33" s="19" t="str">
        <f>activityLog!C56</f>
        <v>#ProgramowaniePABXViewModel</v>
      </c>
      <c r="D33" s="20">
        <v>41864</v>
      </c>
      <c r="E33" s="21">
        <v>1</v>
      </c>
      <c r="F33" s="20">
        <f t="shared" si="1"/>
        <v>41864</v>
      </c>
      <c r="G33" s="20">
        <f t="shared" si="2"/>
        <v>41864</v>
      </c>
      <c r="H33" s="20"/>
      <c r="I33" s="21" t="str">
        <f t="shared" ca="1" si="3"/>
        <v/>
      </c>
      <c r="J33" s="20"/>
      <c r="K33" s="22">
        <v>0</v>
      </c>
      <c r="L33" s="1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</row>
    <row r="34" spans="1:72" ht="18.95" customHeight="1" x14ac:dyDescent="0.2">
      <c r="B34" s="25" t="str">
        <f ca="1">IF(
ISBLANK(C34),
"",
HYPERLINK(
CELL("adres",INDIRECT(ADDRESS(MATCH(C34,activityLog!C:C,0),COLUMN(activityLog!C45),,1,"activityLog"),TRUE)),
"Click for details."))</f>
        <v>Click for details.</v>
      </c>
      <c r="C34" s="19" t="str">
        <f>activityLog!C59</f>
        <v>#GenerowanieComputersDataModel</v>
      </c>
      <c r="D34" s="20">
        <v>41865</v>
      </c>
      <c r="E34" s="21">
        <v>1</v>
      </c>
      <c r="F34" s="20">
        <f t="shared" si="1"/>
        <v>41865</v>
      </c>
      <c r="G34" s="20">
        <f t="shared" si="2"/>
        <v>41865</v>
      </c>
      <c r="H34" s="20"/>
      <c r="I34" s="21" t="str">
        <f t="shared" ca="1" si="3"/>
        <v/>
      </c>
      <c r="J34" s="20"/>
      <c r="K34" s="22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</row>
    <row r="35" spans="1:72" ht="18.95" customHeight="1" x14ac:dyDescent="0.2">
      <c r="B35" s="25" t="str">
        <f ca="1">IF(
ISBLANK(C35),
"",
HYPERLINK(
CELL("adres",INDIRECT(ADDRESS(MATCH(C35,activityLog!C:C,0),COLUMN(activityLog!C46),,1,"activityLog"),TRUE)),
"Click for details."))</f>
        <v>Click for details.</v>
      </c>
      <c r="C35" s="19" t="str">
        <f>activityLog!C60</f>
        <v>#ProjektowanieComputersView</v>
      </c>
      <c r="D35" s="20">
        <v>41865</v>
      </c>
      <c r="E35" s="21">
        <v>2</v>
      </c>
      <c r="F35" s="20">
        <f t="shared" si="1"/>
        <v>41866</v>
      </c>
      <c r="G35" s="20">
        <f t="shared" si="2"/>
        <v>41866</v>
      </c>
      <c r="H35" s="20"/>
      <c r="I35" s="21" t="str">
        <f t="shared" ca="1" si="3"/>
        <v/>
      </c>
      <c r="J35" s="20"/>
      <c r="K35" s="22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</row>
    <row r="36" spans="1:72" ht="18.95" customHeight="1" x14ac:dyDescent="0.2">
      <c r="B36" s="25" t="str">
        <f ca="1">IF(
ISBLANK(C36),
"",
HYPERLINK(
CELL("adres",INDIRECT(ADDRESS(MATCH(C36,activityLog!C:C,0),COLUMN(activityLog!C47),,1,"activityLog"),TRUE)),
"Click for details."))</f>
        <v>Click for details.</v>
      </c>
      <c r="C36" s="19" t="str">
        <f>activityLog!C61</f>
        <v>#ProgramowanieComputersViewModel</v>
      </c>
      <c r="D36" s="20">
        <v>41869</v>
      </c>
      <c r="E36" s="21">
        <v>1</v>
      </c>
      <c r="F36" s="20">
        <f t="shared" si="1"/>
        <v>41869</v>
      </c>
      <c r="G36" s="20">
        <f t="shared" si="2"/>
        <v>41869</v>
      </c>
      <c r="H36" s="20"/>
      <c r="I36" s="21" t="str">
        <f t="shared" ca="1" si="3"/>
        <v/>
      </c>
      <c r="J36" s="20"/>
      <c r="K36" s="22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</row>
    <row r="37" spans="1:72" ht="18.95" customHeight="1" x14ac:dyDescent="0.2">
      <c r="B37" s="25" t="str">
        <f ca="1">IF(
ISBLANK(C37),
"",
HYPERLINK(
CELL("adres",INDIRECT(ADDRESS(MATCH(C37,activityLog!C:C,0),COLUMN(activityLog!C48),,1,"activityLog"),TRUE)),
"Click for details."))</f>
        <v>Click for details.</v>
      </c>
      <c r="C37" s="19" t="str">
        <f>activityLog!C63</f>
        <v>#GenerowanieFurnitureDataModel</v>
      </c>
      <c r="D37" s="20">
        <v>41869</v>
      </c>
      <c r="E37" s="21">
        <v>1</v>
      </c>
      <c r="F37" s="20">
        <f t="shared" si="1"/>
        <v>41869</v>
      </c>
      <c r="G37" s="20">
        <f t="shared" si="2"/>
        <v>41869</v>
      </c>
      <c r="H37" s="20"/>
      <c r="I37" s="21" t="str">
        <f t="shared" ca="1" si="3"/>
        <v/>
      </c>
      <c r="J37" s="20"/>
      <c r="K37" s="22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</row>
    <row r="38" spans="1:72" ht="18.95" customHeight="1" x14ac:dyDescent="0.2">
      <c r="B38" s="25" t="str">
        <f ca="1">IF(
ISBLANK(C38),
"",
HYPERLINK(
CELL("adres",INDIRECT(ADDRESS(MATCH(C38,activityLog!C:C,0),COLUMN(activityLog!C49),,1,"activityLog"),TRUE)),
"Click for details."))</f>
        <v>Click for details.</v>
      </c>
      <c r="C38" s="19" t="str">
        <f>activityLog!C64</f>
        <v>#ProjektowanieFurnitureView</v>
      </c>
      <c r="D38" s="20">
        <v>41869</v>
      </c>
      <c r="E38" s="21">
        <v>2</v>
      </c>
      <c r="F38" s="20">
        <f t="shared" si="1"/>
        <v>41870</v>
      </c>
      <c r="G38" s="20">
        <f t="shared" ref="G38:G39" si="5">IF(
ISBLANK(D38),
"",
D38+E38-1
)</f>
        <v>41870</v>
      </c>
      <c r="H38" s="20"/>
      <c r="I38" s="21" t="str">
        <f t="shared" ca="1" si="3"/>
        <v/>
      </c>
      <c r="J38" s="20"/>
      <c r="K38" s="22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</row>
    <row r="39" spans="1:72" ht="18.95" customHeight="1" x14ac:dyDescent="0.2">
      <c r="B39" s="25" t="str">
        <f ca="1">IF(
ISBLANK(C39),
"",
HYPERLINK(
CELL("adres",INDIRECT(ADDRESS(MATCH(C39,activityLog!C:C,0),COLUMN(activityLog!C50),,1,"activityLog"),TRUE)),
"Click for details."))</f>
        <v>Click for details.</v>
      </c>
      <c r="C39" s="19" t="str">
        <f>activityLog!C65</f>
        <v>#ProgramowanieFurnitureViewModel</v>
      </c>
      <c r="D39" s="20">
        <v>41871</v>
      </c>
      <c r="E39" s="21">
        <v>1</v>
      </c>
      <c r="F39" s="20">
        <f t="shared" si="1"/>
        <v>41871</v>
      </c>
      <c r="G39" s="20">
        <f t="shared" si="5"/>
        <v>41871</v>
      </c>
      <c r="H39" s="20"/>
      <c r="I39" s="21" t="str">
        <f t="shared" ca="1" si="3"/>
        <v/>
      </c>
      <c r="J39" s="20"/>
      <c r="K39" s="22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</row>
    <row r="40" spans="1:72" ht="18.95" customHeight="1" x14ac:dyDescent="0.2">
      <c r="B40" s="25" t="str">
        <f ca="1">IF(
ISBLANK(C40),
"",
HYPERLINK(
CELL("adres",INDIRECT(ADDRESS(MATCH(C40,activityLog!C:C,0),COLUMN(activityLog!C51),,1,"activityLog"),TRUE)),
"Click for details."))</f>
        <v>Click for details.</v>
      </c>
      <c r="C40" s="19" t="str">
        <f>activityLog!C67</f>
        <v>#GenerowanieCarTicketsDataModel</v>
      </c>
      <c r="D40" s="20">
        <v>41872</v>
      </c>
      <c r="E40" s="21">
        <v>1</v>
      </c>
      <c r="F40" s="20">
        <f t="shared" si="1"/>
        <v>41872</v>
      </c>
      <c r="G40" s="20">
        <f t="shared" si="2"/>
        <v>41872</v>
      </c>
      <c r="H40" s="20"/>
      <c r="I40" s="41" t="str">
        <f t="shared" ca="1" si="3"/>
        <v/>
      </c>
      <c r="J40" s="20"/>
      <c r="K40" s="22">
        <v>0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</row>
    <row r="41" spans="1:72" ht="18.95" customHeight="1" x14ac:dyDescent="0.2">
      <c r="B41" s="25" t="str">
        <f ca="1">IF(
ISBLANK(C41),
"",
HYPERLINK(
CELL("adres",INDIRECT(ADDRESS(MATCH(C41,activityLog!C:C,0),COLUMN(activityLog!C52),,1,"activityLog"),TRUE)),
"Click for details."))</f>
        <v>Click for details.</v>
      </c>
      <c r="C41" s="19" t="str">
        <f>activityLog!C68</f>
        <v>#ProjektowanieCarTicketsView</v>
      </c>
      <c r="D41" s="20">
        <v>41872</v>
      </c>
      <c r="E41" s="21">
        <v>2</v>
      </c>
      <c r="F41" s="20">
        <f t="shared" si="1"/>
        <v>41873</v>
      </c>
      <c r="G41" s="20">
        <f t="shared" si="2"/>
        <v>41873</v>
      </c>
      <c r="H41" s="20"/>
      <c r="I41" s="21" t="str">
        <f t="shared" ca="1" si="3"/>
        <v/>
      </c>
      <c r="J41" s="20"/>
      <c r="K41" s="22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</row>
    <row r="42" spans="1:72" ht="18.95" customHeight="1" x14ac:dyDescent="0.2">
      <c r="B42" s="25" t="str">
        <f ca="1">IF(
ISBLANK(C42),
"",
HYPERLINK(
CELL("adres",INDIRECT(ADDRESS(MATCH(C42,activityLog!C:C,0),COLUMN(activityLog!C53),,1,"activityLog"),TRUE)),
"Click for details."))</f>
        <v>Click for details.</v>
      </c>
      <c r="C42" s="19" t="str">
        <f>activityLog!C69</f>
        <v>#ProgramowanieCarTicketsViewModel</v>
      </c>
      <c r="D42" s="20">
        <v>41876</v>
      </c>
      <c r="E42" s="21">
        <v>1</v>
      </c>
      <c r="F42" s="20">
        <f t="shared" si="1"/>
        <v>41876</v>
      </c>
      <c r="G42" s="20">
        <f t="shared" si="2"/>
        <v>41876</v>
      </c>
      <c r="H42" s="20"/>
      <c r="I42" s="21" t="str">
        <f t="shared" ca="1" si="3"/>
        <v/>
      </c>
      <c r="J42" s="20"/>
      <c r="K42" s="22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</row>
    <row r="43" spans="1:72" ht="18.95" customHeight="1" x14ac:dyDescent="0.2">
      <c r="B43" s="25" t="str">
        <f ca="1">IF(
ISBLANK(C43),
"",
HYPERLINK(
CELL("adres",INDIRECT(ADDRESS(MATCH(C43,activityLog!C:C,0),COLUMN(activityLog!C54),,1,"activityLog"),TRUE)),
"Click for details."))</f>
        <v>Click for details.</v>
      </c>
      <c r="C43" s="19" t="str">
        <f>activityLog!C71</f>
        <v>#GenerowanieTaxiBillsDataModel</v>
      </c>
      <c r="D43" s="20">
        <v>41877</v>
      </c>
      <c r="E43" s="21">
        <v>1</v>
      </c>
      <c r="F43" s="20">
        <f t="shared" si="1"/>
        <v>41877</v>
      </c>
      <c r="G43" s="20">
        <f t="shared" si="2"/>
        <v>41877</v>
      </c>
      <c r="H43" s="20"/>
      <c r="I43" s="21" t="str">
        <f t="shared" ca="1" si="3"/>
        <v/>
      </c>
      <c r="J43" s="20"/>
      <c r="K43" s="22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</row>
    <row r="44" spans="1:72" ht="18.95" customHeight="1" x14ac:dyDescent="0.2">
      <c r="B44" s="25" t="str">
        <f ca="1">IF(
ISBLANK(C44),
"",
HYPERLINK(
CELL("adres",INDIRECT(ADDRESS(MATCH(C44,activityLog!C:C,0),COLUMN(activityLog!C55),,1,"activityLog"),TRUE)),
"Click for details."))</f>
        <v>Click for details.</v>
      </c>
      <c r="C44" s="19" t="str">
        <f>activityLog!C72</f>
        <v>#ProjektowanieTaxiBillsView</v>
      </c>
      <c r="D44" s="20">
        <v>41877</v>
      </c>
      <c r="E44" s="21">
        <v>2</v>
      </c>
      <c r="F44" s="20">
        <f t="shared" si="1"/>
        <v>41878</v>
      </c>
      <c r="G44" s="20">
        <f t="shared" si="2"/>
        <v>41878</v>
      </c>
      <c r="H44" s="20"/>
      <c r="I44" s="21" t="str">
        <f t="shared" ca="1" si="3"/>
        <v/>
      </c>
      <c r="J44" s="20"/>
      <c r="K44" s="22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</row>
    <row r="45" spans="1:72" ht="18.95" customHeight="1" x14ac:dyDescent="0.2">
      <c r="B45" s="25" t="str">
        <f ca="1">IF(
ISBLANK(C45),
"",
HYPERLINK(
CELL("adres",INDIRECT(ADDRESS(MATCH(C45,activityLog!C:C,0),COLUMN(activityLog!C56),,1,"activityLog"),TRUE)),
"Click for details."))</f>
        <v>Click for details.</v>
      </c>
      <c r="C45" s="19" t="str">
        <f>activityLog!C73</f>
        <v>#ProgramowanieTaxiBillsViewModel</v>
      </c>
      <c r="D45" s="20">
        <v>41879</v>
      </c>
      <c r="E45" s="21">
        <v>1</v>
      </c>
      <c r="F45" s="20">
        <f t="shared" si="1"/>
        <v>41879</v>
      </c>
      <c r="G45" s="20">
        <f t="shared" si="2"/>
        <v>41879</v>
      </c>
      <c r="H45" s="20"/>
      <c r="I45" s="21" t="str">
        <f t="shared" ca="1" si="3"/>
        <v/>
      </c>
      <c r="J45" s="20"/>
      <c r="K45" s="22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</row>
    <row r="46" spans="1:72" ht="18.95" customHeight="1" x14ac:dyDescent="0.2">
      <c r="B46" s="25" t="str">
        <f ca="1">IF(
ISBLANK(C46),
"",
HYPERLINK(
CELL("adres",INDIRECT(ADDRESS(MATCH(C46,activityLog!C:C,0),COLUMN(activityLog!C57),,1,"activityLog"),TRUE)),
"Click for details."))</f>
        <v/>
      </c>
      <c r="C46" s="19"/>
      <c r="D46" s="20"/>
      <c r="E46" s="21"/>
      <c r="F46" s="20"/>
      <c r="G46" s="20" t="str">
        <f t="shared" si="2"/>
        <v/>
      </c>
      <c r="H46" s="20"/>
      <c r="I46" s="21" t="str">
        <f t="shared" ca="1" si="3"/>
        <v/>
      </c>
      <c r="J46" s="20"/>
      <c r="K46" s="22">
        <v>0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</row>
    <row r="47" spans="1:72" ht="18.95" customHeight="1" x14ac:dyDescent="0.2">
      <c r="B47" s="25" t="str">
        <f ca="1">IF(
ISBLANK(C47),
"",
HYPERLINK(
CELL("adres",INDIRECT(ADDRESS(MATCH(C47,activityLog!C:C,0),COLUMN(activityLog!C58),,1,"activityLog"),TRUE)),
"Click for details."))</f>
        <v/>
      </c>
      <c r="C47" s="19"/>
      <c r="D47" s="20"/>
      <c r="E47" s="21"/>
      <c r="F47" s="20"/>
      <c r="G47" s="20" t="str">
        <f t="shared" si="2"/>
        <v/>
      </c>
      <c r="H47" s="20"/>
      <c r="I47" s="21" t="str">
        <f t="shared" ca="1" si="3"/>
        <v/>
      </c>
      <c r="J47" s="20"/>
      <c r="K47" s="22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</row>
    <row r="48" spans="1:72" ht="18.95" customHeight="1" x14ac:dyDescent="0.2">
      <c r="B48" s="25" t="str">
        <f ca="1">IF(
ISBLANK(C48),
"",
HYPERLINK(
CELL("adres",INDIRECT(ADDRESS(MATCH(C48,activityLog!C:C,0),COLUMN(activityLog!C59),,1,"activityLog"),TRUE)),
"Click for details."))</f>
        <v/>
      </c>
      <c r="C48" s="19"/>
      <c r="D48" s="20"/>
      <c r="E48" s="21"/>
      <c r="F48" s="20"/>
      <c r="G48" s="20" t="str">
        <f t="shared" si="2"/>
        <v/>
      </c>
      <c r="H48" s="20"/>
      <c r="I48" s="21" t="str">
        <f t="shared" ca="1" si="3"/>
        <v/>
      </c>
      <c r="J48" s="20"/>
      <c r="K48" s="22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</row>
    <row r="49" spans="2:72" ht="18.95" customHeight="1" x14ac:dyDescent="0.2">
      <c r="B49" s="25" t="str">
        <f ca="1">IF(
ISBLANK(C49),
"",
HYPERLINK(
CELL("adres",INDIRECT(ADDRESS(MATCH(C49,activityLog!C:C,0),COLUMN(activityLog!C60),,1,"activityLog"),TRUE)),
"Click for details."))</f>
        <v/>
      </c>
      <c r="C49" s="19"/>
      <c r="D49" s="20"/>
      <c r="E49" s="21"/>
      <c r="F49" s="20"/>
      <c r="G49" s="20" t="str">
        <f t="shared" si="2"/>
        <v/>
      </c>
      <c r="H49" s="20"/>
      <c r="I49" s="21" t="str">
        <f t="shared" ca="1" si="3"/>
        <v/>
      </c>
      <c r="J49" s="20"/>
      <c r="K49" s="22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</row>
    <row r="50" spans="2:72" ht="18.95" customHeight="1" x14ac:dyDescent="0.2">
      <c r="B50" s="25" t="str">
        <f ca="1">IF(
ISBLANK(C50),
"",
HYPERLINK(
CELL("adres",INDIRECT(ADDRESS(MATCH(C50,activityLog!C:C,0),COLUMN(activityLog!C61),,1,"activityLog"),TRUE)),
"Click for details."))</f>
        <v/>
      </c>
      <c r="C50" s="19"/>
      <c r="D50" s="20"/>
      <c r="E50" s="21"/>
      <c r="F50" s="20"/>
      <c r="G50" s="20" t="str">
        <f t="shared" si="2"/>
        <v/>
      </c>
      <c r="H50" s="20"/>
      <c r="I50" s="21" t="str">
        <f t="shared" ca="1" si="3"/>
        <v/>
      </c>
      <c r="J50" s="20"/>
      <c r="K50" s="22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</row>
    <row r="51" spans="2:72" ht="18.95" customHeight="1" x14ac:dyDescent="0.2">
      <c r="B51" s="25" t="str">
        <f ca="1">IF(
ISBLANK(C51),
"",
HYPERLINK(
CELL("adres",INDIRECT(ADDRESS(MATCH(C51,activityLog!C:C,0),COLUMN(activityLog!C62),,1,"activityLog"),TRUE)),
"Click for details."))</f>
        <v/>
      </c>
      <c r="C51" s="19"/>
      <c r="D51" s="20"/>
      <c r="E51" s="21"/>
      <c r="F51" s="20"/>
      <c r="G51" s="20" t="str">
        <f t="shared" si="2"/>
        <v/>
      </c>
      <c r="H51" s="20"/>
      <c r="I51" s="21" t="str">
        <f t="shared" ca="1" si="3"/>
        <v/>
      </c>
      <c r="J51" s="20"/>
      <c r="K51" s="22">
        <v>0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</row>
    <row r="52" spans="2:72" ht="18.95" customHeight="1" x14ac:dyDescent="0.2">
      <c r="B52" s="25" t="str">
        <f ca="1">IF(
ISBLANK(C52),
"",
HYPERLINK(
CELL("adres",INDIRECT(ADDRESS(MATCH(C52,activityLog!C:C,0),COLUMN(activityLog!C63),,1,"activityLog"),TRUE)),
"Click for details."))</f>
        <v/>
      </c>
      <c r="C52" s="19"/>
      <c r="D52" s="20"/>
      <c r="E52" s="21"/>
      <c r="F52" s="20"/>
      <c r="G52" s="20" t="str">
        <f t="shared" si="2"/>
        <v/>
      </c>
      <c r="H52" s="20"/>
      <c r="I52" s="21" t="str">
        <f t="shared" ca="1" si="3"/>
        <v/>
      </c>
      <c r="J52" s="20"/>
      <c r="K52" s="22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</row>
    <row r="55" spans="2:72" x14ac:dyDescent="0.2">
      <c r="O55" s="26">
        <f>WEEKDAY(O9,2)</f>
        <v>5</v>
      </c>
    </row>
    <row r="56" spans="2:72" x14ac:dyDescent="0.2">
      <c r="E56" s="27"/>
      <c r="F56" s="27"/>
      <c r="H56" s="27"/>
    </row>
  </sheetData>
  <mergeCells count="2">
    <mergeCell ref="B2:K4"/>
    <mergeCell ref="P3:R3"/>
  </mergeCells>
  <conditionalFormatting sqref="M11:BT52">
    <cfRule type="expression" dxfId="10" priority="1" stopIfTrue="1">
      <formula>WEEKDAY(M$9,2)&gt;5</formula>
    </cfRule>
    <cfRule type="expression" dxfId="9" priority="2">
      <formula>PercentComplete</formula>
    </cfRule>
    <cfRule type="expression" dxfId="8" priority="4">
      <formula>PercentCompleteBeyond</formula>
    </cfRule>
    <cfRule type="expression" dxfId="7" priority="5">
      <formula>Actual</formula>
    </cfRule>
    <cfRule type="expression" dxfId="6" priority="6">
      <formula>ActualBeyond</formula>
    </cfRule>
    <cfRule type="expression" dxfId="5" priority="7">
      <formula>Plan</formula>
    </cfRule>
    <cfRule type="expression" dxfId="4" priority="8">
      <formula>M$9=period_selected</formula>
    </cfRule>
    <cfRule type="expression" dxfId="3" priority="10">
      <formula>MOD(COLUMN(),2)</formula>
    </cfRule>
    <cfRule type="expression" dxfId="2" priority="11">
      <formula>MOD(COLUMN(),2)=0</formula>
    </cfRule>
  </conditionalFormatting>
  <conditionalFormatting sqref="B53:BT53">
    <cfRule type="expression" dxfId="1" priority="3">
      <formula>TRUE</formula>
    </cfRule>
  </conditionalFormatting>
  <conditionalFormatting sqref="M9:BT10">
    <cfRule type="expression" dxfId="0" priority="9">
      <formula>M$9=period_selected</formula>
    </cfRule>
  </conditionalFormatting>
  <pageMargins left="0.45" right="0.45" top="0.5" bottom="0.5" header="0.3" footer="0.3"/>
  <pageSetup scale="4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print="0" autoPict="0" altText="Period Highlight Spin Control">
                <anchor moveWithCells="1">
                  <from>
                    <xdr:col>18</xdr:col>
                    <xdr:colOff>66675</xdr:colOff>
                    <xdr:row>2</xdr:row>
                    <xdr:rowOff>28575</xdr:rowOff>
                  </from>
                  <to>
                    <xdr:col>18</xdr:col>
                    <xdr:colOff>200025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73"/>
  <sheetViews>
    <sheetView topLeftCell="A13" zoomScale="85" zoomScaleNormal="85" workbookViewId="0">
      <selection activeCell="D54" sqref="D54"/>
    </sheetView>
  </sheetViews>
  <sheetFormatPr defaultRowHeight="14.25" x14ac:dyDescent="0.2"/>
  <cols>
    <col min="1" max="1" width="57.25" style="28" bestFit="1" customWidth="1"/>
    <col min="2" max="2" width="33.125" style="28" bestFit="1" customWidth="1"/>
    <col min="3" max="3" width="43.5" style="28" bestFit="1" customWidth="1"/>
    <col min="4" max="4" width="149.75" style="28" bestFit="1" customWidth="1"/>
    <col min="5" max="5" width="16.25" style="28" customWidth="1"/>
    <col min="6" max="6" width="17.875" style="28" customWidth="1"/>
    <col min="7" max="16384" width="9" style="28"/>
  </cols>
  <sheetData>
    <row r="1" spans="1:4" x14ac:dyDescent="0.2">
      <c r="A1" s="28" t="s">
        <v>18</v>
      </c>
      <c r="B1" s="28" t="s">
        <v>19</v>
      </c>
      <c r="C1" s="28" t="s">
        <v>20</v>
      </c>
      <c r="D1" s="28" t="s">
        <v>21</v>
      </c>
    </row>
    <row r="2" spans="1:4" ht="30.75" customHeight="1" x14ac:dyDescent="0.2">
      <c r="A2" s="28" t="s">
        <v>22</v>
      </c>
      <c r="B2" s="28" t="s">
        <v>23</v>
      </c>
      <c r="D2" s="28" t="s">
        <v>24</v>
      </c>
    </row>
    <row r="3" spans="1:4" ht="30.75" customHeight="1" x14ac:dyDescent="0.2">
      <c r="B3" s="28" t="s">
        <v>25</v>
      </c>
      <c r="C3" s="28" t="s">
        <v>26</v>
      </c>
      <c r="D3" s="28" t="s">
        <v>27</v>
      </c>
    </row>
    <row r="5" spans="1:4" ht="30.75" customHeight="1" x14ac:dyDescent="0.2">
      <c r="A5" s="28" t="s">
        <v>28</v>
      </c>
      <c r="B5" s="28" t="s">
        <v>29</v>
      </c>
    </row>
    <row r="6" spans="1:4" ht="30.75" customHeight="1" x14ac:dyDescent="0.2">
      <c r="B6" s="28" t="s">
        <v>30</v>
      </c>
    </row>
    <row r="7" spans="1:4" ht="30.75" customHeight="1" x14ac:dyDescent="0.2">
      <c r="B7" s="28" t="s">
        <v>31</v>
      </c>
    </row>
    <row r="8" spans="1:4" ht="30.75" customHeight="1" x14ac:dyDescent="0.2">
      <c r="B8" s="28" t="s">
        <v>32</v>
      </c>
    </row>
    <row r="10" spans="1:4" ht="30.75" customHeight="1" x14ac:dyDescent="0.2">
      <c r="A10" s="28" t="s">
        <v>33</v>
      </c>
      <c r="B10" s="28" t="s">
        <v>34</v>
      </c>
      <c r="D10" s="28" t="s">
        <v>35</v>
      </c>
    </row>
    <row r="11" spans="1:4" ht="30.75" customHeight="1" x14ac:dyDescent="0.2">
      <c r="B11" s="28" t="s">
        <v>36</v>
      </c>
      <c r="D11" s="28" t="s">
        <v>37</v>
      </c>
    </row>
    <row r="12" spans="1:4" ht="30.75" customHeight="1" x14ac:dyDescent="0.2">
      <c r="B12" s="28" t="s">
        <v>38</v>
      </c>
      <c r="D12" s="28" t="s">
        <v>39</v>
      </c>
    </row>
    <row r="13" spans="1:4" ht="30.75" customHeight="1" x14ac:dyDescent="0.2">
      <c r="B13" s="28" t="s">
        <v>40</v>
      </c>
      <c r="D13" s="28" t="s">
        <v>41</v>
      </c>
    </row>
    <row r="15" spans="1:4" ht="30.75" customHeight="1" x14ac:dyDescent="0.2">
      <c r="A15" s="28" t="s">
        <v>42</v>
      </c>
    </row>
    <row r="16" spans="1:4" ht="30.75" customHeight="1" x14ac:dyDescent="0.2">
      <c r="A16" s="28" t="s">
        <v>43</v>
      </c>
      <c r="B16" s="28" t="s">
        <v>44</v>
      </c>
      <c r="D16" s="28" t="s">
        <v>45</v>
      </c>
    </row>
    <row r="17" spans="1:4" ht="30.75" customHeight="1" x14ac:dyDescent="0.2">
      <c r="B17" s="28" t="s">
        <v>46</v>
      </c>
      <c r="D17" s="28" t="s">
        <v>47</v>
      </c>
    </row>
    <row r="18" spans="1:4" ht="30.75" customHeight="1" x14ac:dyDescent="0.2">
      <c r="B18" s="28" t="s">
        <v>48</v>
      </c>
      <c r="D18" s="28" t="s">
        <v>49</v>
      </c>
    </row>
    <row r="19" spans="1:4" ht="30.75" customHeight="1" x14ac:dyDescent="0.2">
      <c r="B19" s="28" t="s">
        <v>50</v>
      </c>
      <c r="D19" s="28" t="s">
        <v>51</v>
      </c>
    </row>
    <row r="20" spans="1:4" ht="30.75" customHeight="1" x14ac:dyDescent="0.2">
      <c r="B20" s="28" t="s">
        <v>52</v>
      </c>
      <c r="D20" s="28" t="s">
        <v>53</v>
      </c>
    </row>
    <row r="22" spans="1:4" ht="30.75" customHeight="1" x14ac:dyDescent="0.2">
      <c r="A22" s="28" t="s">
        <v>33</v>
      </c>
      <c r="B22" s="28" t="s">
        <v>38</v>
      </c>
      <c r="C22" s="28" t="s">
        <v>54</v>
      </c>
      <c r="D22" s="28" t="s">
        <v>55</v>
      </c>
    </row>
    <row r="23" spans="1:4" ht="30.75" customHeight="1" x14ac:dyDescent="0.2">
      <c r="C23" s="28" t="s">
        <v>56</v>
      </c>
      <c r="D23" s="28" t="s">
        <v>57</v>
      </c>
    </row>
    <row r="24" spans="1:4" ht="30.75" customHeight="1" x14ac:dyDescent="0.2">
      <c r="C24" s="28" t="s">
        <v>58</v>
      </c>
      <c r="D24" s="28" t="s">
        <v>59</v>
      </c>
    </row>
    <row r="25" spans="1:4" ht="30.75" customHeight="1" x14ac:dyDescent="0.2">
      <c r="C25" s="28" t="s">
        <v>60</v>
      </c>
      <c r="D25" s="28" t="s">
        <v>61</v>
      </c>
    </row>
    <row r="27" spans="1:4" ht="30.75" customHeight="1" x14ac:dyDescent="0.2">
      <c r="A27" s="28" t="s">
        <v>33</v>
      </c>
      <c r="B27" s="28" t="s">
        <v>62</v>
      </c>
      <c r="C27" s="28" t="s">
        <v>63</v>
      </c>
      <c r="D27" s="28" t="s">
        <v>64</v>
      </c>
    </row>
    <row r="28" spans="1:4" ht="30.75" customHeight="1" x14ac:dyDescent="0.2">
      <c r="C28" s="28" t="s">
        <v>65</v>
      </c>
      <c r="D28" s="28" t="s">
        <v>66</v>
      </c>
    </row>
    <row r="29" spans="1:4" ht="30.75" customHeight="1" x14ac:dyDescent="0.2">
      <c r="C29" s="28" t="s">
        <v>67</v>
      </c>
      <c r="D29" s="28" t="s">
        <v>68</v>
      </c>
    </row>
    <row r="30" spans="1:4" ht="30.75" customHeight="1" x14ac:dyDescent="0.2"/>
    <row r="32" spans="1:4" ht="30.75" customHeight="1" x14ac:dyDescent="0.2">
      <c r="A32" s="28" t="s">
        <v>33</v>
      </c>
      <c r="B32" s="28" t="s">
        <v>69</v>
      </c>
      <c r="C32" s="28" t="s">
        <v>70</v>
      </c>
      <c r="D32" s="29" t="s">
        <v>71</v>
      </c>
    </row>
    <row r="33" spans="1:4" ht="47.25" customHeight="1" x14ac:dyDescent="0.2">
      <c r="C33" s="28" t="s">
        <v>72</v>
      </c>
      <c r="D33" s="28" t="s">
        <v>73</v>
      </c>
    </row>
    <row r="34" spans="1:4" ht="30.75" customHeight="1" x14ac:dyDescent="0.2">
      <c r="C34" s="28" t="s">
        <v>74</v>
      </c>
      <c r="D34" s="28" t="s">
        <v>75</v>
      </c>
    </row>
    <row r="35" spans="1:4" ht="30.75" customHeight="1" x14ac:dyDescent="0.2"/>
    <row r="38" spans="1:4" ht="30.75" customHeight="1" x14ac:dyDescent="0.2">
      <c r="A38" s="28" t="s">
        <v>33</v>
      </c>
      <c r="B38" s="28" t="s">
        <v>76</v>
      </c>
      <c r="C38" s="28" t="s">
        <v>77</v>
      </c>
    </row>
    <row r="39" spans="1:4" ht="30.75" customHeight="1" x14ac:dyDescent="0.2">
      <c r="C39" s="28" t="s">
        <v>78</v>
      </c>
    </row>
    <row r="40" spans="1:4" ht="30.75" customHeight="1" x14ac:dyDescent="0.2">
      <c r="C40" s="28" t="s">
        <v>79</v>
      </c>
    </row>
    <row r="43" spans="1:4" ht="30.75" customHeight="1" x14ac:dyDescent="0.2">
      <c r="A43" s="28" t="s">
        <v>80</v>
      </c>
      <c r="B43" s="28" t="s">
        <v>81</v>
      </c>
      <c r="C43" s="28" t="s">
        <v>82</v>
      </c>
      <c r="D43" s="28" t="s">
        <v>83</v>
      </c>
    </row>
    <row r="44" spans="1:4" ht="30.75" customHeight="1" x14ac:dyDescent="0.2">
      <c r="C44" s="28" t="s">
        <v>84</v>
      </c>
      <c r="D44" s="28" t="s">
        <v>85</v>
      </c>
    </row>
    <row r="45" spans="1:4" ht="30.75" customHeight="1" x14ac:dyDescent="0.2">
      <c r="C45" s="28" t="s">
        <v>86</v>
      </c>
      <c r="D45" s="28" t="s">
        <v>87</v>
      </c>
    </row>
    <row r="46" spans="1:4" ht="30.75" customHeight="1" x14ac:dyDescent="0.2">
      <c r="D46" s="28" t="s">
        <v>88</v>
      </c>
    </row>
    <row r="49" spans="1:4" ht="30.75" customHeight="1" x14ac:dyDescent="0.2">
      <c r="A49" s="28" t="s">
        <v>80</v>
      </c>
      <c r="B49" s="28" t="s">
        <v>89</v>
      </c>
      <c r="C49" s="28" t="s">
        <v>90</v>
      </c>
      <c r="D49" s="28" t="s">
        <v>91</v>
      </c>
    </row>
    <row r="50" spans="1:4" ht="30.75" customHeight="1" x14ac:dyDescent="0.2">
      <c r="C50" s="28" t="s">
        <v>92</v>
      </c>
      <c r="D50" s="28" t="s">
        <v>93</v>
      </c>
    </row>
    <row r="51" spans="1:4" ht="30.75" customHeight="1" x14ac:dyDescent="0.2">
      <c r="C51" s="28" t="s">
        <v>94</v>
      </c>
      <c r="D51" s="28" t="s">
        <v>95</v>
      </c>
    </row>
    <row r="52" spans="1:4" ht="30.75" customHeight="1" x14ac:dyDescent="0.2">
      <c r="D52" s="28" t="s">
        <v>96</v>
      </c>
    </row>
    <row r="54" spans="1:4" ht="30.75" customHeight="1" x14ac:dyDescent="0.2">
      <c r="A54" s="28" t="s">
        <v>80</v>
      </c>
      <c r="B54" s="28" t="s">
        <v>97</v>
      </c>
      <c r="C54" s="28" t="s">
        <v>98</v>
      </c>
      <c r="D54" s="28" t="s">
        <v>99</v>
      </c>
    </row>
    <row r="55" spans="1:4" ht="30.75" customHeight="1" x14ac:dyDescent="0.2">
      <c r="C55" s="28" t="s">
        <v>100</v>
      </c>
      <c r="D55" s="28" t="s">
        <v>101</v>
      </c>
    </row>
    <row r="56" spans="1:4" ht="30.75" customHeight="1" x14ac:dyDescent="0.2">
      <c r="C56" s="28" t="s">
        <v>102</v>
      </c>
      <c r="D56" s="28" t="s">
        <v>103</v>
      </c>
    </row>
    <row r="57" spans="1:4" ht="30.75" customHeight="1" x14ac:dyDescent="0.2">
      <c r="D57" s="28" t="s">
        <v>104</v>
      </c>
    </row>
    <row r="59" spans="1:4" ht="30.75" customHeight="1" x14ac:dyDescent="0.2">
      <c r="A59" s="28" t="s">
        <v>80</v>
      </c>
      <c r="B59" s="28" t="s">
        <v>105</v>
      </c>
      <c r="C59" s="28" t="s">
        <v>106</v>
      </c>
      <c r="D59" s="28" t="s">
        <v>107</v>
      </c>
    </row>
    <row r="60" spans="1:4" ht="30.75" customHeight="1" x14ac:dyDescent="0.2">
      <c r="C60" s="28" t="s">
        <v>108</v>
      </c>
      <c r="D60" s="28" t="s">
        <v>109</v>
      </c>
    </row>
    <row r="61" spans="1:4" ht="30.75" customHeight="1" x14ac:dyDescent="0.2">
      <c r="C61" s="28" t="s">
        <v>110</v>
      </c>
      <c r="D61" s="28" t="s">
        <v>111</v>
      </c>
    </row>
    <row r="62" spans="1:4" ht="30.75" customHeight="1" x14ac:dyDescent="0.2">
      <c r="D62" s="28" t="s">
        <v>112</v>
      </c>
    </row>
    <row r="63" spans="1:4" ht="30.75" customHeight="1" x14ac:dyDescent="0.2">
      <c r="A63" s="28" t="s">
        <v>80</v>
      </c>
      <c r="B63" s="28" t="s">
        <v>113</v>
      </c>
      <c r="C63" s="28" t="s">
        <v>114</v>
      </c>
    </row>
    <row r="64" spans="1:4" ht="30.75" customHeight="1" x14ac:dyDescent="0.2">
      <c r="C64" s="28" t="s">
        <v>115</v>
      </c>
    </row>
    <row r="65" spans="1:3" x14ac:dyDescent="0.2">
      <c r="C65" s="28" t="s">
        <v>116</v>
      </c>
    </row>
    <row r="67" spans="1:3" ht="30.75" customHeight="1" x14ac:dyDescent="0.2">
      <c r="A67" s="28" t="s">
        <v>117</v>
      </c>
      <c r="B67" s="28" t="s">
        <v>118</v>
      </c>
      <c r="C67" s="28" t="s">
        <v>119</v>
      </c>
    </row>
    <row r="68" spans="1:3" x14ac:dyDescent="0.2">
      <c r="C68" s="28" t="s">
        <v>120</v>
      </c>
    </row>
    <row r="69" spans="1:3" x14ac:dyDescent="0.2">
      <c r="C69" s="28" t="s">
        <v>121</v>
      </c>
    </row>
    <row r="71" spans="1:3" x14ac:dyDescent="0.2">
      <c r="B71" s="28" t="s">
        <v>122</v>
      </c>
      <c r="C71" s="28" t="s">
        <v>123</v>
      </c>
    </row>
    <row r="72" spans="1:3" x14ac:dyDescent="0.2">
      <c r="C72" s="28" t="s">
        <v>124</v>
      </c>
    </row>
    <row r="73" spans="1:3" x14ac:dyDescent="0.2">
      <c r="C73" s="28" t="s">
        <v>125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N26"/>
  <sheetViews>
    <sheetView workbookViewId="0">
      <selection activeCell="I15" sqref="I15"/>
    </sheetView>
  </sheetViews>
  <sheetFormatPr defaultRowHeight="14.25" x14ac:dyDescent="0.2"/>
  <cols>
    <col min="1" max="2" width="13.5" bestFit="1" customWidth="1"/>
    <col min="8" max="8" width="20" bestFit="1" customWidth="1"/>
    <col min="9" max="10" width="11.375" customWidth="1"/>
    <col min="11" max="11" width="10.625" customWidth="1"/>
    <col min="12" max="12" width="13.375" customWidth="1"/>
    <col min="13" max="13" width="14.375" customWidth="1"/>
    <col min="14" max="14" width="14.75" customWidth="1"/>
  </cols>
  <sheetData>
    <row r="1" spans="1:14" x14ac:dyDescent="0.2">
      <c r="A1" s="30" t="s">
        <v>126</v>
      </c>
      <c r="B1" s="30" t="s">
        <v>127</v>
      </c>
    </row>
    <row r="2" spans="1:14" x14ac:dyDescent="0.2">
      <c r="A2" t="s">
        <v>128</v>
      </c>
      <c r="B2" s="31" t="str">
        <f ca="1">MID(CELL("filename"),SEARCH("[",CELL("filename"))+1, SEARCH("]",CELL("filename"))-SEARCH("[",CELL("filename"))-1)</f>
        <v>Kalendarz_dev.xlsm</v>
      </c>
    </row>
    <row r="3" spans="1:14" x14ac:dyDescent="0.2">
      <c r="A3" t="s">
        <v>129</v>
      </c>
      <c r="B3" t="str">
        <f ca="1">""""&amp;"["&amp;WorkbookName&amp;"]timeline!"</f>
        <v>"[Kalendarz_dev.xlsm]timeline!</v>
      </c>
    </row>
    <row r="10" spans="1:14" x14ac:dyDescent="0.2">
      <c r="K10">
        <f>WEEKDAY(K11,2)</f>
        <v>5</v>
      </c>
      <c r="L10">
        <f t="shared" ref="L10:N10" si="0">WEEKDAY(L11,2)</f>
        <v>6</v>
      </c>
      <c r="M10">
        <f t="shared" si="0"/>
        <v>7</v>
      </c>
      <c r="N10">
        <f t="shared" si="0"/>
        <v>1</v>
      </c>
    </row>
    <row r="11" spans="1:14" x14ac:dyDescent="0.2">
      <c r="K11" s="42">
        <v>41831</v>
      </c>
      <c r="L11" s="42">
        <v>41832</v>
      </c>
      <c r="M11" s="42">
        <v>41833</v>
      </c>
      <c r="N11" s="42">
        <v>41834</v>
      </c>
    </row>
    <row r="12" spans="1:14" x14ac:dyDescent="0.2">
      <c r="K12">
        <v>1</v>
      </c>
      <c r="L12">
        <v>2</v>
      </c>
      <c r="M12">
        <v>3</v>
      </c>
      <c r="N12">
        <v>4</v>
      </c>
    </row>
    <row r="14" spans="1:14" x14ac:dyDescent="0.2">
      <c r="H14" t="s">
        <v>131</v>
      </c>
      <c r="I14">
        <v>2</v>
      </c>
    </row>
    <row r="15" spans="1:14" x14ac:dyDescent="0.2">
      <c r="H15" t="s">
        <v>132</v>
      </c>
      <c r="I15" s="43"/>
      <c r="J15" s="43"/>
    </row>
    <row r="16" spans="1:14" x14ac:dyDescent="0.2">
      <c r="H16" t="s">
        <v>133</v>
      </c>
      <c r="I16" s="42">
        <f>WORKDAY(K11,I14)</f>
        <v>41835</v>
      </c>
    </row>
    <row r="17" spans="9:12" x14ac:dyDescent="0.2">
      <c r="I17" s="43"/>
      <c r="J17" s="43"/>
    </row>
    <row r="22" spans="9:12" x14ac:dyDescent="0.2">
      <c r="I22" s="42">
        <f>$K$11+I14-1</f>
        <v>41832</v>
      </c>
    </row>
    <row r="23" spans="9:12" x14ac:dyDescent="0.2">
      <c r="I23">
        <f>NETWORKDAYS(K11,I22)</f>
        <v>1</v>
      </c>
    </row>
    <row r="24" spans="9:12" x14ac:dyDescent="0.2">
      <c r="I24" s="42">
        <f>I22+I23</f>
        <v>41833</v>
      </c>
    </row>
    <row r="26" spans="9:12" x14ac:dyDescent="0.2">
      <c r="L26" s="42">
        <f>WORKDAY(K11,I14)-1</f>
        <v>41834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C1"/>
  <sheetViews>
    <sheetView workbookViewId="0">
      <selection activeCell="B1" sqref="B1"/>
    </sheetView>
  </sheetViews>
  <sheetFormatPr defaultRowHeight="14.25" x14ac:dyDescent="0.2"/>
  <cols>
    <col min="3" max="3" width="15.125" bestFit="1" customWidth="1"/>
  </cols>
  <sheetData>
    <row r="1" spans="1:3" x14ac:dyDescent="0.2">
      <c r="A1">
        <f>B1</f>
        <v>4</v>
      </c>
      <c r="B1">
        <v>4</v>
      </c>
      <c r="C1" s="44">
        <f ca="1">NOW()</f>
        <v>41830.622323958334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"/>
  <sheetViews>
    <sheetView workbookViewId="0"/>
  </sheetViews>
  <sheetFormatPr defaultRowHeight="14.25" x14ac:dyDescent="0.2"/>
  <sheetData>
    <row r="1" spans="1:1" x14ac:dyDescent="0.2">
      <c r="A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3</vt:i4>
      </vt:variant>
    </vt:vector>
  </HeadingPairs>
  <TitlesOfParts>
    <vt:vector size="8" baseType="lpstr">
      <vt:lpstr>timeline</vt:lpstr>
      <vt:lpstr>activityLog</vt:lpstr>
      <vt:lpstr>helper</vt:lpstr>
      <vt:lpstr>Arkusz1</vt:lpstr>
      <vt:lpstr>b</vt:lpstr>
      <vt:lpstr>LinkStr2ActLog</vt:lpstr>
      <vt:lpstr>period_selected</vt:lpstr>
      <vt:lpstr>WorkbookName</vt:lpstr>
    </vt:vector>
  </TitlesOfParts>
  <Company>GroupM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Zien</dc:creator>
  <cp:lastModifiedBy>Kamil Zien</cp:lastModifiedBy>
  <dcterms:created xsi:type="dcterms:W3CDTF">2014-07-09T15:32:38Z</dcterms:created>
  <dcterms:modified xsi:type="dcterms:W3CDTF">2014-07-10T13:34:25Z</dcterms:modified>
</cp:coreProperties>
</file>